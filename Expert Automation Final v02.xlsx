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.qu\Downloads\"/>
    </mc:Choice>
  </mc:AlternateContent>
  <xr:revisionPtr revIDLastSave="0" documentId="13_ncr:1_{E76DABDE-E69C-4727-8625-E82B16B83CA9}" xr6:coauthVersionLast="47" xr6:coauthVersionMax="47" xr10:uidLastSave="{00000000-0000-0000-0000-000000000000}"/>
  <bookViews>
    <workbookView xWindow="-120" yWindow="-120" windowWidth="38640" windowHeight="21120" xr2:uid="{01915C0D-4F25-4949-B12A-8FD1DC934101}"/>
  </bookViews>
  <sheets>
    <sheet name="Models" sheetId="1" r:id="rId1"/>
    <sheet name="Combination" sheetId="3" r:id="rId2"/>
  </sheets>
  <externalReferences>
    <externalReference r:id="rId3"/>
  </externalReferences>
  <definedNames>
    <definedName name="_xlnm._FilterDatabase" localSheetId="0" hidden="1">Models!$A$1:$L$59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38" i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23" i="1" a="1"/>
  <c r="M2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<sst xmlns="http://schemas.openxmlformats.org/spreadsheetml/2006/main" count="276" uniqueCount="103">
  <si>
    <t>Product code</t>
  </si>
  <si>
    <t>Cooling</t>
  </si>
  <si>
    <t>HCE200C</t>
  </si>
  <si>
    <t xml:space="preserve">Waschmaschine </t>
  </si>
  <si>
    <t>Spüler</t>
  </si>
  <si>
    <t>HCE420D</t>
  </si>
  <si>
    <t>Trockner</t>
  </si>
  <si>
    <t>Backofen</t>
  </si>
  <si>
    <t>HDPW7620AANPK</t>
  </si>
  <si>
    <t>Waschtrockner</t>
  </si>
  <si>
    <t>Kochfeld (60er)</t>
  </si>
  <si>
    <t>Kochfeld (80er)</t>
  </si>
  <si>
    <t>HTW7620ANMG</t>
  </si>
  <si>
    <t>HFR3718ENGB</t>
  </si>
  <si>
    <t>HFR79F19EFGK</t>
  </si>
  <si>
    <t>HSW79F18ANMM</t>
  </si>
  <si>
    <t>H4F226WEH1</t>
  </si>
  <si>
    <t>H4F226WDH1</t>
  </si>
  <si>
    <t>H4F272WDH1</t>
  </si>
  <si>
    <t>H4F306WDH1</t>
  </si>
  <si>
    <t>HWS77GDAU1</t>
  </si>
  <si>
    <t>HWS58GGH1</t>
  </si>
  <si>
    <t>HCE321C</t>
  </si>
  <si>
    <t>HCR79F19CNMD</t>
  </si>
  <si>
    <t>H4F306WAH1</t>
  </si>
  <si>
    <t>H4R306WAH1</t>
  </si>
  <si>
    <t>HFR79F19DFGB</t>
  </si>
  <si>
    <t>HDPR1620ANPK</t>
  </si>
  <si>
    <t>HTR3618CNMG</t>
  </si>
  <si>
    <t>HCR3818DWMM</t>
  </si>
  <si>
    <t>CBI Cooling</t>
  </si>
  <si>
    <t>HBW7518CF</t>
  </si>
  <si>
    <t>HUC44GDEH1</t>
  </si>
  <si>
    <t>HATB 174 DE</t>
  </si>
  <si>
    <t>CBI Oven</t>
  </si>
  <si>
    <t>H6 ID68M5YTB</t>
  </si>
  <si>
    <t>H6 ID48L5YTB</t>
  </si>
  <si>
    <t>H6 ID23T3HTB</t>
  </si>
  <si>
    <t>H6 ID23B3YTB</t>
  </si>
  <si>
    <t>HAI64SCM</t>
  </si>
  <si>
    <t>HAMTB86IRCS</t>
  </si>
  <si>
    <t>CBI DW</t>
  </si>
  <si>
    <t>XS 63A4M4B</t>
  </si>
  <si>
    <t>XS 4B0M3SB-84</t>
  </si>
  <si>
    <t>XF 4B2E1S-84</t>
  </si>
  <si>
    <t>XH 4B2F1S</t>
  </si>
  <si>
    <t>Washing</t>
  </si>
  <si>
    <t>HW70-BP14637T</t>
  </si>
  <si>
    <t>HW80-BP1426637</t>
  </si>
  <si>
    <t>HW100-BP14637</t>
  </si>
  <si>
    <t>HW80-BP14657TU1</t>
  </si>
  <si>
    <t>HW90-BP14657TU1</t>
  </si>
  <si>
    <t>HW80-B14667TU1</t>
  </si>
  <si>
    <t>HW90-B14667TU1</t>
  </si>
  <si>
    <t>HW130-B14687U1</t>
  </si>
  <si>
    <t>HWD80-BP14637T</t>
  </si>
  <si>
    <t>HWD100-BP14657U1</t>
  </si>
  <si>
    <t>HD90-C637</t>
  </si>
  <si>
    <t>HD80-C657U1</t>
  </si>
  <si>
    <t>HD90-B667U1</t>
  </si>
  <si>
    <t>HD90-A687U1</t>
  </si>
  <si>
    <t>HAMQD 410CBL9GN-84</t>
  </si>
  <si>
    <t>HW50-BP12307U1</t>
  </si>
  <si>
    <t>HWD50-BP12307U1</t>
  </si>
  <si>
    <t>THASNQ286TM5-84</t>
  </si>
  <si>
    <t>HW90-BPD13386GU1</t>
  </si>
  <si>
    <t>Mix Palett 1</t>
  </si>
  <si>
    <t>Mix Palett 2</t>
  </si>
  <si>
    <t>Mix Palett 3</t>
  </si>
  <si>
    <t>Mix Palett 4</t>
  </si>
  <si>
    <t>Mix Palett 5</t>
  </si>
  <si>
    <t>Mix Palett 6</t>
  </si>
  <si>
    <t>Numbers on one pallet</t>
  </si>
  <si>
    <t>Sub-Categories</t>
  </si>
  <si>
    <t>Categories</t>
  </si>
  <si>
    <t>Product name</t>
  </si>
  <si>
    <t>CBI Hob</t>
  </si>
  <si>
    <t>Toplader</t>
  </si>
  <si>
    <t>CST9619DNGBW</t>
  </si>
  <si>
    <t>CSW9619ENGBW</t>
  </si>
  <si>
    <t>Kühlschrank BI</t>
  </si>
  <si>
    <t>Kühlschrank</t>
  </si>
  <si>
    <t>Combi</t>
  </si>
  <si>
    <t>Mix Palett 7</t>
  </si>
  <si>
    <t>Mix Palett 8</t>
  </si>
  <si>
    <t>Mix Palett 9</t>
  </si>
  <si>
    <t>Mix Palett 10</t>
  </si>
  <si>
    <t>Mix Palett 11</t>
  </si>
  <si>
    <t>Mix Palett 12</t>
  </si>
  <si>
    <t>Category code</t>
  </si>
  <si>
    <t>A</t>
  </si>
  <si>
    <t>B</t>
  </si>
  <si>
    <t>S</t>
  </si>
  <si>
    <t>KB</t>
  </si>
  <si>
    <t>K1</t>
  </si>
  <si>
    <t>K2</t>
  </si>
  <si>
    <t>K6</t>
  </si>
  <si>
    <t>Product volume</t>
  </si>
  <si>
    <t>K8</t>
  </si>
  <si>
    <t>Product price</t>
  </si>
  <si>
    <t>HW110-BD14397U1</t>
  </si>
  <si>
    <t>HWD120-BD16397EU1</t>
  </si>
  <si>
    <t>HD90-A3Q397U1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</si>
</sst>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L.&quot;\ * #,##0.00_-;\-&quot;L.&quot;\ * #,##0.00_-;_-&quot;L.&quot;\ * &quot;-&quot;??_-;_-@_-"/>
    <numFmt numFmtId="167" formatCode="#,##0.00\ [$€-1]_);[Red]\(#,##0.00\ [$€-1]\)"/>
    <numFmt numFmtId="168" formatCode="[$-409]mmm\-yy"/>
    <numFmt numFmtId="169" formatCode="#,##0.00\ [$€-1]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indexed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50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>
      <alignment vertical="center"/>
    </xf>
    <xf numFmtId="0" fontId="4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7" fillId="0" borderId="0"/>
    <xf numFmtId="0" fontId="4" fillId="0" borderId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8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9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horizontal="left"/>
    </xf>
    <xf numFmtId="169" fontId="2" fillId="0" borderId="0" xfId="0" applyNumberFormat="1" applyFont="1" applyAlignment="1">
      <alignment horizontal="left" vertical="center" wrapText="1"/>
    </xf>
    <xf numFmtId="169" fontId="0" fillId="0" borderId="0" xfId="0" applyNumberFormat="1" applyAlignment="1">
      <alignment horizontal="left" vertical="center" wrapText="1"/>
    </xf>
    <xf numFmtId="169" fontId="0" fillId="0" borderId="0" xfId="0" applyNumberFormat="1" applyAlignment="1">
      <alignment horizontal="left"/>
    </xf>
  </cellXfs>
  <cellStyles count="50">
    <cellStyle name="Comma 2" xfId="3" xr:uid="{EE8FBED8-C24E-4A69-85E4-2958B15E3311}"/>
    <cellStyle name="Comma 2 2" xfId="48" xr:uid="{D0934209-7552-4DAF-AE74-9CB3B6516302}"/>
    <cellStyle name="Comma 3" xfId="4" xr:uid="{34F24D66-FE21-48AA-84A3-1709617E1034}"/>
    <cellStyle name="Comma 3 2" xfId="5" xr:uid="{05B47659-C3AE-46C1-95C6-1D34C8782ED3}"/>
    <cellStyle name="Comma 4" xfId="6" xr:uid="{4A6A1EBA-171F-4D73-925B-813D25D7B648}"/>
    <cellStyle name="Currency 2" xfId="7" xr:uid="{3813A854-3949-46D4-BE63-6C2198AAC31E}"/>
    <cellStyle name="Currency 2 2" xfId="47" xr:uid="{4C1A4768-7DC3-4162-9C93-D2BC1528967B}"/>
    <cellStyle name="Hyperlink" xfId="2" xr:uid="{644F9A60-8B99-4B52-8C82-033ACB4D4C48}"/>
    <cellStyle name="Komma 2" xfId="8" xr:uid="{CB5A74B9-0D39-47CA-A035-FADA3ACFAEFA}"/>
    <cellStyle name="Migliaia 10 2 2 2 2 2 2 2" xfId="9" xr:uid="{002A4405-1700-4AB0-B2DB-E372FB84526B}"/>
    <cellStyle name="Migliaia 10 4" xfId="10" xr:uid="{479C3330-64BD-4282-8113-9B39FC0FA107}"/>
    <cellStyle name="Migliaia 10 5" xfId="11" xr:uid="{D64A8CDB-E373-4ACE-8EBC-29C246F5BD25}"/>
    <cellStyle name="Migliaia 10 6" xfId="12" xr:uid="{6E08C84E-F85D-4572-84EE-B45250262C2E}"/>
    <cellStyle name="Migliaia 10 7" xfId="13" xr:uid="{ACAC4D00-5A38-42AD-8626-80D8EAB762A9}"/>
    <cellStyle name="Migliaia 10 8" xfId="14" xr:uid="{2564A2DD-8775-4484-A44E-D15A40F09B4E}"/>
    <cellStyle name="Migliaia 12" xfId="15" xr:uid="{0CC4C7EF-467B-4DB6-8E60-A00B2FE14E16}"/>
    <cellStyle name="Migliaia 14" xfId="16" xr:uid="{A9438EAF-7E5E-44B2-8F57-39DEFB4E3CB3}"/>
    <cellStyle name="Migliaia 15" xfId="17" xr:uid="{A507C3E1-49E7-44F4-B3E8-C813DC673D21}"/>
    <cellStyle name="Migliaia 16" xfId="18" xr:uid="{3D6DD0F5-934B-44AC-8491-C42EB5F42170}"/>
    <cellStyle name="Migliaia 17" xfId="19" xr:uid="{E4FD5031-ECDC-4039-BB07-BAF7704820BD}"/>
    <cellStyle name="Migliaia 18" xfId="20" xr:uid="{C5AD9CA1-E29B-4338-90A9-94222A9A2DAA}"/>
    <cellStyle name="Migliaia 19" xfId="21" xr:uid="{CB9FA111-4801-46A6-A6C8-58AAE05E7AC1}"/>
    <cellStyle name="Migliaia 2" xfId="22" xr:uid="{5B0826E4-10CF-4879-B9F4-2BE8C1FC4F27}"/>
    <cellStyle name="Migliaia 2 11" xfId="23" xr:uid="{6F49FEB7-B082-482E-A660-009B1B08662B}"/>
    <cellStyle name="Migliaia 2 5" xfId="24" xr:uid="{7667BFD7-654A-4BCD-9C28-DE1BDB2E2C3B}"/>
    <cellStyle name="Migliaia 2 7" xfId="25" xr:uid="{4142F903-DC8E-41C5-8481-47468BCB6A0C}"/>
    <cellStyle name="Migliaia 2 9" xfId="26" xr:uid="{6CD5DE3B-7452-4087-98C5-8829EDA02C1A}"/>
    <cellStyle name="Migliaia 20" xfId="27" xr:uid="{70EC185C-AFB0-4966-A39B-0DCB5B0FEDC9}"/>
    <cellStyle name="Migliaia 20 2" xfId="28" xr:uid="{62F96FBD-2CAC-4BF3-BCD8-3FF33558FAAC}"/>
    <cellStyle name="Migliaia 6" xfId="29" xr:uid="{000681D0-920B-4EED-84E5-09D8E9E97780}"/>
    <cellStyle name="Migliaia 7" xfId="30" xr:uid="{92EFB0FA-48FD-4FAF-A600-D749DBDAA3A4}"/>
    <cellStyle name="Migliaia 8" xfId="31" xr:uid="{7D7D930C-CB50-4B17-8EA7-0388798D4E9F}"/>
    <cellStyle name="Migliaia 9" xfId="32" xr:uid="{EEC7157C-ADB5-4C16-BE1A-B3823F609115}"/>
    <cellStyle name="Normal" xfId="0" builtinId="0"/>
    <cellStyle name="Normal 2" xfId="33" xr:uid="{DF66A8D1-DCA6-46B9-B16F-9A72E7908F68}"/>
    <cellStyle name="Normal 4" xfId="49" xr:uid="{47CFB9DB-D31D-4AFB-9D80-00409FDAC78A}"/>
    <cellStyle name="Normale 10" xfId="34" xr:uid="{CD347D02-1762-47D1-A0C0-DD6EF6DECCA2}"/>
    <cellStyle name="Normale 2" xfId="35" xr:uid="{8094B4E5-E3A5-44F8-B668-8FD1E28E8658}"/>
    <cellStyle name="Normale 2 3" xfId="45" xr:uid="{85A6EAD0-F23A-481E-B4FA-08D170757F55}"/>
    <cellStyle name="Normale 3" xfId="36" xr:uid="{D5A0E904-C79A-4A7C-9E96-1C88BD3E6826}"/>
    <cellStyle name="Percentuale 2" xfId="37" xr:uid="{6A5CFE53-0FA3-4B5E-9A61-5B8969C7C12B}"/>
    <cellStyle name="Standard 13" xfId="1" xr:uid="{7821EFF7-85CF-48DB-A782-3D4114D75108}"/>
    <cellStyle name="Valuta 10 2 2" xfId="38" xr:uid="{10DFC2D9-4FE3-47CC-BFCB-DA15EB44DA0E}"/>
    <cellStyle name="Valuta 10 2 2 2" xfId="39" xr:uid="{846C4FD2-02F2-4CCF-8DA9-DF2DE0E0784B}"/>
    <cellStyle name="Valuta 2 10" xfId="40" xr:uid="{4AE46E03-F1AB-48C7-9A91-AD774E961B30}"/>
    <cellStyle name="Valuta 6" xfId="41" xr:uid="{7593CF34-8C55-4B39-9E34-48E4B9FB8DDA}"/>
    <cellStyle name="Valuta 6 2" xfId="42" xr:uid="{98E10863-7294-4BFF-A17C-C07C3C3E9AE1}"/>
    <cellStyle name="Währung 2" xfId="43" xr:uid="{EF6F9224-014A-4853-B585-C9FAD4A6A40B}"/>
    <cellStyle name="常规 5" xfId="44" xr:uid="{7104D6D7-B648-4242-B9B0-DD08565524D3}"/>
    <cellStyle name="常规_Refrigerator HAIER" xfId="46" xr:uid="{8FF72EA9-D390-42F1-BC97-4B8B1B165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dygroup.sharepoint.com/sites/TeamGassi/Shared%20Documents/Allgemein/(Nanis)%20Master%20Range%20File_All.xlsx" TargetMode="External"/><Relationship Id="rId1" Type="http://schemas.openxmlformats.org/officeDocument/2006/relationships/externalLinkPath" Target="https://candygroup.sharepoint.com/sites/TeamGassi/Shared%20Documents/Allgemein/(Nanis)%20Master%20Range%20File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shing old"/>
      <sheetName val="Washing"/>
      <sheetName val="Energysaving Otto and BF MSH"/>
      <sheetName val="Cooling old"/>
      <sheetName val="Sheet1"/>
      <sheetName val="CBI DW"/>
      <sheetName val="Cooling base. WIP"/>
      <sheetName val="Cooling"/>
      <sheetName val="CBI all"/>
      <sheetName val="NPIs"/>
      <sheetName val="CBI (all)"/>
      <sheetName val="Product Feature"/>
      <sheetName val="Consumables"/>
      <sheetName val="Tabelle1"/>
      <sheetName val="Comment"/>
    </sheetNames>
    <definedNames>
      <definedName name="EXP_CBI" refersTo="='CBI all'!$Y:$Y"/>
    </definedNames>
    <sheetDataSet>
      <sheetData sheetId="0">
        <row r="4">
          <cell r="Y4" t="str">
            <v>Motorart/ Motor type</v>
          </cell>
        </row>
        <row r="5">
          <cell r="Y5" t="str">
            <v>BLDC</v>
          </cell>
        </row>
        <row r="6">
          <cell r="Y6" t="str">
            <v>BLDC</v>
          </cell>
        </row>
        <row r="7">
          <cell r="Y7" t="str">
            <v>BLDC</v>
          </cell>
        </row>
        <row r="8">
          <cell r="Y8" t="str">
            <v>BLDC</v>
          </cell>
        </row>
        <row r="9">
          <cell r="Y9" t="str">
            <v>BLDC</v>
          </cell>
        </row>
        <row r="10">
          <cell r="Y10" t="str">
            <v>BLDC</v>
          </cell>
        </row>
        <row r="11">
          <cell r="Y11" t="str">
            <v>BLDC</v>
          </cell>
        </row>
        <row r="12">
          <cell r="Y12" t="str">
            <v>BLDC</v>
          </cell>
        </row>
        <row r="13">
          <cell r="Y13" t="str">
            <v>BLDC</v>
          </cell>
        </row>
        <row r="14">
          <cell r="Y14" t="str">
            <v>BLDC</v>
          </cell>
        </row>
        <row r="15">
          <cell r="Y15" t="str">
            <v>BLDC</v>
          </cell>
        </row>
        <row r="16">
          <cell r="Y16" t="str">
            <v>DD</v>
          </cell>
        </row>
        <row r="17">
          <cell r="Y17" t="str">
            <v>DD</v>
          </cell>
        </row>
        <row r="18">
          <cell r="Y18" t="str">
            <v>DD</v>
          </cell>
        </row>
        <row r="19">
          <cell r="Y19" t="str">
            <v>BLDC</v>
          </cell>
        </row>
        <row r="20">
          <cell r="Y20" t="str">
            <v>DD</v>
          </cell>
        </row>
        <row r="21">
          <cell r="Y21" t="str">
            <v>DD</v>
          </cell>
        </row>
        <row r="22">
          <cell r="Y22" t="str">
            <v>BLDC</v>
          </cell>
        </row>
        <row r="23">
          <cell r="Y23" t="str">
            <v>BLDC</v>
          </cell>
        </row>
        <row r="24">
          <cell r="Y24" t="str">
            <v>BLDC</v>
          </cell>
        </row>
        <row r="25">
          <cell r="Y25" t="str">
            <v>DD</v>
          </cell>
        </row>
        <row r="26">
          <cell r="Y26" t="str">
            <v>DD</v>
          </cell>
        </row>
        <row r="27">
          <cell r="Y27" t="str">
            <v>DD</v>
          </cell>
        </row>
        <row r="28">
          <cell r="Y28" t="str">
            <v>DD</v>
          </cell>
        </row>
        <row r="29">
          <cell r="Y29" t="str">
            <v>DD</v>
          </cell>
        </row>
        <row r="30">
          <cell r="Y30" t="str">
            <v>DD</v>
          </cell>
        </row>
        <row r="31">
          <cell r="Y31" t="str">
            <v>DD</v>
          </cell>
        </row>
        <row r="32">
          <cell r="Y32" t="str">
            <v>DD</v>
          </cell>
        </row>
        <row r="33">
          <cell r="Y33" t="str">
            <v>DD</v>
          </cell>
        </row>
        <row r="34">
          <cell r="Y34" t="str">
            <v>DD</v>
          </cell>
        </row>
        <row r="35">
          <cell r="Y35" t="str">
            <v>DD</v>
          </cell>
        </row>
        <row r="36">
          <cell r="Y36" t="str">
            <v>DD</v>
          </cell>
        </row>
        <row r="37">
          <cell r="Y37" t="str">
            <v>DD</v>
          </cell>
        </row>
        <row r="38">
          <cell r="Y38" t="str">
            <v>DD</v>
          </cell>
        </row>
        <row r="39">
          <cell r="Y39" t="str">
            <v>BLDC</v>
          </cell>
        </row>
        <row r="40">
          <cell r="Y40" t="str">
            <v>BLDC</v>
          </cell>
        </row>
        <row r="41">
          <cell r="Y41" t="str">
            <v>BLDC</v>
          </cell>
        </row>
        <row r="42">
          <cell r="Y42" t="str">
            <v>BLDC</v>
          </cell>
        </row>
        <row r="43">
          <cell r="Y43" t="str">
            <v>DD</v>
          </cell>
        </row>
        <row r="44">
          <cell r="Y44" t="str">
            <v>DD</v>
          </cell>
        </row>
        <row r="45">
          <cell r="Y45" t="str">
            <v>DD</v>
          </cell>
        </row>
        <row r="46">
          <cell r="Y46" t="str">
            <v>DD</v>
          </cell>
        </row>
        <row r="47">
          <cell r="Y47" t="str">
            <v>BLDC</v>
          </cell>
        </row>
        <row r="48">
          <cell r="Y48" t="str">
            <v>BLDC</v>
          </cell>
        </row>
        <row r="49">
          <cell r="Y49" t="str">
            <v>BLDC</v>
          </cell>
        </row>
        <row r="50">
          <cell r="Y50" t="str">
            <v>DD</v>
          </cell>
        </row>
        <row r="51">
          <cell r="Y51" t="str">
            <v>DD</v>
          </cell>
        </row>
        <row r="52">
          <cell r="Y52" t="str">
            <v>DD</v>
          </cell>
        </row>
        <row r="53">
          <cell r="Y53" t="str">
            <v>DD</v>
          </cell>
        </row>
        <row r="54">
          <cell r="Y54" t="str">
            <v>DD</v>
          </cell>
        </row>
        <row r="55">
          <cell r="Y55" t="str">
            <v>DD</v>
          </cell>
        </row>
        <row r="56">
          <cell r="Y56" t="str">
            <v>DD</v>
          </cell>
        </row>
        <row r="57">
          <cell r="Y57" t="str">
            <v>DD</v>
          </cell>
        </row>
        <row r="58">
          <cell r="Y58" t="str">
            <v>DD</v>
          </cell>
        </row>
        <row r="59">
          <cell r="Y59" t="str">
            <v>BLDC</v>
          </cell>
        </row>
        <row r="60">
          <cell r="Y60" t="str">
            <v>BLDC</v>
          </cell>
        </row>
        <row r="61">
          <cell r="Y61" t="str">
            <v>BLDC</v>
          </cell>
        </row>
        <row r="62">
          <cell r="Y62" t="str">
            <v>BLDC</v>
          </cell>
        </row>
        <row r="63">
          <cell r="Y63" t="str">
            <v>BLDC</v>
          </cell>
        </row>
        <row r="64">
          <cell r="Y64" t="str">
            <v>BLDC</v>
          </cell>
        </row>
        <row r="65">
          <cell r="Y65" t="str">
            <v>BLDC</v>
          </cell>
        </row>
        <row r="66">
          <cell r="Y66" t="str">
            <v>BLDC</v>
          </cell>
        </row>
        <row r="67">
          <cell r="Y67" t="str">
            <v>BLDC</v>
          </cell>
        </row>
        <row r="68">
          <cell r="Y68" t="str">
            <v>BLDC</v>
          </cell>
        </row>
        <row r="69">
          <cell r="Y69" t="str">
            <v>AC</v>
          </cell>
        </row>
        <row r="70">
          <cell r="Y70" t="str">
            <v>BLDC</v>
          </cell>
        </row>
        <row r="71">
          <cell r="Y71" t="str">
            <v>AC</v>
          </cell>
        </row>
        <row r="72">
          <cell r="Y72" t="str">
            <v>BLDC</v>
          </cell>
        </row>
        <row r="73">
          <cell r="Y73" t="str">
            <v>AC</v>
          </cell>
        </row>
        <row r="74">
          <cell r="Y74" t="str">
            <v>BLDC</v>
          </cell>
        </row>
        <row r="75">
          <cell r="Y75" t="str">
            <v>BLDC</v>
          </cell>
        </row>
        <row r="76">
          <cell r="Y76" t="str">
            <v>BLDC</v>
          </cell>
        </row>
        <row r="77">
          <cell r="Y77" t="str">
            <v>BLDC</v>
          </cell>
        </row>
        <row r="78">
          <cell r="Y78" t="str">
            <v>BLDC</v>
          </cell>
        </row>
        <row r="79">
          <cell r="Y79" t="str">
            <v>BLDC</v>
          </cell>
        </row>
        <row r="80">
          <cell r="Y80" t="str">
            <v>BLDC</v>
          </cell>
        </row>
        <row r="81">
          <cell r="Y81" t="str">
            <v>BLDC</v>
          </cell>
        </row>
        <row r="82">
          <cell r="Y82" t="str">
            <v>BLDC</v>
          </cell>
        </row>
        <row r="83">
          <cell r="Y83" t="str">
            <v>AC</v>
          </cell>
        </row>
        <row r="84">
          <cell r="Y84" t="str">
            <v>AC</v>
          </cell>
        </row>
        <row r="85">
          <cell r="Y85" t="str">
            <v>AC</v>
          </cell>
        </row>
        <row r="86">
          <cell r="Y86" t="str">
            <v>AC</v>
          </cell>
        </row>
        <row r="87">
          <cell r="Y87" t="str">
            <v>AC</v>
          </cell>
        </row>
        <row r="88">
          <cell r="Y88" t="str">
            <v>Inverter</v>
          </cell>
        </row>
        <row r="89">
          <cell r="Y89" t="str">
            <v>Inverter</v>
          </cell>
        </row>
        <row r="90">
          <cell r="Y90" t="str">
            <v>Inverter</v>
          </cell>
        </row>
        <row r="91">
          <cell r="Y91" t="str">
            <v>Inverter</v>
          </cell>
        </row>
        <row r="92">
          <cell r="Y92" t="str">
            <v>Inverter</v>
          </cell>
        </row>
        <row r="93">
          <cell r="Y93" t="str">
            <v>Inverter</v>
          </cell>
        </row>
        <row r="94">
          <cell r="Y94" t="str">
            <v>Inverter</v>
          </cell>
        </row>
        <row r="95">
          <cell r="Y95" t="str">
            <v>Inverter</v>
          </cell>
        </row>
        <row r="96">
          <cell r="Y96" t="str">
            <v>Inverter</v>
          </cell>
        </row>
        <row r="97">
          <cell r="Y97" t="str">
            <v>Inverter</v>
          </cell>
        </row>
        <row r="98">
          <cell r="Y98" t="str">
            <v>AC</v>
          </cell>
        </row>
        <row r="99">
          <cell r="Y99" t="str">
            <v>AC</v>
          </cell>
        </row>
        <row r="100">
          <cell r="Y100" t="str">
            <v>Inverter</v>
          </cell>
        </row>
        <row r="101">
          <cell r="Y101" t="str">
            <v>Inverter</v>
          </cell>
        </row>
        <row r="102">
          <cell r="Y102" t="str">
            <v>Inverter</v>
          </cell>
        </row>
        <row r="103">
          <cell r="Y103" t="str">
            <v>AC</v>
          </cell>
        </row>
        <row r="104">
          <cell r="Y104" t="str">
            <v>Inverter</v>
          </cell>
        </row>
        <row r="105">
          <cell r="Y105" t="str">
            <v>Inverter</v>
          </cell>
        </row>
        <row r="106">
          <cell r="Y106" t="str">
            <v>AC</v>
          </cell>
        </row>
        <row r="107">
          <cell r="Y107" t="str">
            <v>AC</v>
          </cell>
        </row>
        <row r="108">
          <cell r="Y108" t="str">
            <v>Inverter</v>
          </cell>
        </row>
        <row r="109">
          <cell r="Y109" t="str">
            <v>Inverter</v>
          </cell>
        </row>
        <row r="110">
          <cell r="Y110" t="str">
            <v>AC</v>
          </cell>
        </row>
        <row r="111">
          <cell r="Y111" t="str">
            <v>AC</v>
          </cell>
        </row>
        <row r="112">
          <cell r="Y112" t="str">
            <v>AC</v>
          </cell>
        </row>
        <row r="113">
          <cell r="Y113" t="str">
            <v>AC</v>
          </cell>
        </row>
        <row r="114">
          <cell r="Y114" t="str">
            <v>AC</v>
          </cell>
        </row>
        <row r="115">
          <cell r="Y115" t="str">
            <v>AC</v>
          </cell>
        </row>
        <row r="116">
          <cell r="Y116" t="str">
            <v>BPM</v>
          </cell>
        </row>
        <row r="117">
          <cell r="Y117" t="str">
            <v>BPM</v>
          </cell>
        </row>
        <row r="118">
          <cell r="Y118" t="str">
            <v>BPM</v>
          </cell>
        </row>
        <row r="119">
          <cell r="Y119" t="str">
            <v>BPM</v>
          </cell>
        </row>
        <row r="120">
          <cell r="Y120" t="str">
            <v>BPM</v>
          </cell>
        </row>
        <row r="121">
          <cell r="Y121" t="str">
            <v>BPM</v>
          </cell>
        </row>
        <row r="122">
          <cell r="Y122" t="str">
            <v>BPM</v>
          </cell>
        </row>
        <row r="123">
          <cell r="Y123" t="str">
            <v>BPM</v>
          </cell>
        </row>
        <row r="124">
          <cell r="Y124" t="str">
            <v>BPM</v>
          </cell>
        </row>
        <row r="125">
          <cell r="Y125" t="str">
            <v>BPM</v>
          </cell>
        </row>
        <row r="126">
          <cell r="Y126" t="str">
            <v>BPM</v>
          </cell>
        </row>
        <row r="127">
          <cell r="Y127" t="str">
            <v>BPM</v>
          </cell>
        </row>
        <row r="128">
          <cell r="Y128" t="str">
            <v>BPM</v>
          </cell>
        </row>
        <row r="129">
          <cell r="Y129" t="str">
            <v>BPM</v>
          </cell>
        </row>
        <row r="130">
          <cell r="Y130" t="str">
            <v>BPM</v>
          </cell>
        </row>
        <row r="131">
          <cell r="Y131" t="str">
            <v>BPM</v>
          </cell>
        </row>
        <row r="132">
          <cell r="Y132" t="str">
            <v>BPM</v>
          </cell>
        </row>
        <row r="133">
          <cell r="Y133" t="str">
            <v>BPM</v>
          </cell>
        </row>
        <row r="134">
          <cell r="Y134" t="str">
            <v>BPM</v>
          </cell>
        </row>
        <row r="135">
          <cell r="Y135" t="str">
            <v>BPM</v>
          </cell>
        </row>
        <row r="136">
          <cell r="Y136" t="str">
            <v>BPM</v>
          </cell>
        </row>
        <row r="137">
          <cell r="Y137" t="str">
            <v>DD</v>
          </cell>
        </row>
        <row r="138">
          <cell r="Y138" t="str">
            <v>DD</v>
          </cell>
        </row>
        <row r="139">
          <cell r="Y139" t="str">
            <v>DD</v>
          </cell>
        </row>
        <row r="140">
          <cell r="Y140" t="str">
            <v>DD</v>
          </cell>
        </row>
        <row r="141">
          <cell r="Y141" t="str">
            <v>DD</v>
          </cell>
        </row>
        <row r="142">
          <cell r="Y142" t="str">
            <v>BPM</v>
          </cell>
        </row>
        <row r="143">
          <cell r="Y143" t="str">
            <v>BPM</v>
          </cell>
        </row>
        <row r="144">
          <cell r="Y144" t="str">
            <v>BPM</v>
          </cell>
        </row>
        <row r="145">
          <cell r="Y145" t="str">
            <v>BPM</v>
          </cell>
        </row>
        <row r="146">
          <cell r="Y146" t="str">
            <v>BPM</v>
          </cell>
        </row>
        <row r="147">
          <cell r="Y147" t="str">
            <v>BPM</v>
          </cell>
        </row>
        <row r="148">
          <cell r="Y148" t="str">
            <v>BPM</v>
          </cell>
        </row>
        <row r="149">
          <cell r="Y149" t="str">
            <v>BPM</v>
          </cell>
        </row>
        <row r="150">
          <cell r="Y150" t="str">
            <v>BPM</v>
          </cell>
        </row>
        <row r="151">
          <cell r="Y151" t="str">
            <v>BPM</v>
          </cell>
        </row>
        <row r="152">
          <cell r="Y152" t="str">
            <v>BPM</v>
          </cell>
        </row>
        <row r="153">
          <cell r="Y153" t="str">
            <v>BPM</v>
          </cell>
        </row>
        <row r="154">
          <cell r="Y154" t="str">
            <v>BPM</v>
          </cell>
        </row>
        <row r="155">
          <cell r="Y155" t="str">
            <v>BPM</v>
          </cell>
        </row>
        <row r="156">
          <cell r="Y156" t="str">
            <v>BPM</v>
          </cell>
        </row>
        <row r="157">
          <cell r="Y157" t="str">
            <v>BPM</v>
          </cell>
        </row>
        <row r="158">
          <cell r="Y158" t="str">
            <v>BPM</v>
          </cell>
        </row>
        <row r="159">
          <cell r="Y159" t="str">
            <v>BPM</v>
          </cell>
        </row>
        <row r="160">
          <cell r="Y160" t="str">
            <v>BPM</v>
          </cell>
        </row>
        <row r="161">
          <cell r="Y161" t="str">
            <v>BPM</v>
          </cell>
        </row>
        <row r="162">
          <cell r="Y162" t="str">
            <v>BPM</v>
          </cell>
        </row>
        <row r="163">
          <cell r="Y163" t="str">
            <v>BPM</v>
          </cell>
        </row>
        <row r="164">
          <cell r="Y164" t="str">
            <v>AC</v>
          </cell>
        </row>
        <row r="165">
          <cell r="Y165" t="str">
            <v>AC</v>
          </cell>
        </row>
        <row r="166">
          <cell r="Y166" t="str">
            <v>AC</v>
          </cell>
        </row>
        <row r="167">
          <cell r="Y167" t="str">
            <v>AC</v>
          </cell>
        </row>
        <row r="168">
          <cell r="Y168" t="str">
            <v>DD</v>
          </cell>
        </row>
      </sheetData>
      <sheetData sheetId="1">
        <row r="1">
          <cell r="E1" t="str">
            <v>Productname</v>
          </cell>
          <cell r="Y1" t="str">
            <v>Motorart/ Motor type</v>
          </cell>
          <cell r="DM1" t="str">
            <v>Expert</v>
          </cell>
        </row>
        <row r="2">
          <cell r="E2" t="str">
            <v>HW70-BP14636N</v>
          </cell>
          <cell r="Y2" t="str">
            <v>BLDC</v>
          </cell>
        </row>
        <row r="3">
          <cell r="E3" t="str">
            <v>HW80-BP14636N</v>
          </cell>
          <cell r="Y3" t="str">
            <v>BLDC</v>
          </cell>
        </row>
        <row r="4">
          <cell r="E4" t="str">
            <v>HW90-BP14636N</v>
          </cell>
          <cell r="Y4" t="str">
            <v>BLDC</v>
          </cell>
        </row>
        <row r="5">
          <cell r="E5" t="str">
            <v>HW100-BP14636N</v>
          </cell>
          <cell r="Y5" t="str">
            <v>BLDC</v>
          </cell>
        </row>
        <row r="6">
          <cell r="E6" t="str">
            <v>HW70-BP14929BU1</v>
          </cell>
          <cell r="Y6" t="str">
            <v>BLDC</v>
          </cell>
        </row>
        <row r="7">
          <cell r="E7" t="str">
            <v>HW70-BP14929</v>
          </cell>
          <cell r="Y7" t="str">
            <v>BLDC</v>
          </cell>
        </row>
        <row r="8">
          <cell r="E8" t="str">
            <v>HW80-BP14929BU1</v>
          </cell>
          <cell r="Y8" t="str">
            <v>BLDC</v>
          </cell>
        </row>
        <row r="9">
          <cell r="E9" t="str">
            <v>HW80-BP14929</v>
          </cell>
          <cell r="Y9" t="str">
            <v>BLDC</v>
          </cell>
        </row>
        <row r="10">
          <cell r="E10" t="str">
            <v>HW90-BP14929BU1</v>
          </cell>
          <cell r="Y10" t="str">
            <v>BLDC</v>
          </cell>
        </row>
        <row r="11">
          <cell r="E11" t="str">
            <v>HW90-BP14929</v>
          </cell>
          <cell r="Y11" t="str">
            <v>BLDC</v>
          </cell>
        </row>
        <row r="12">
          <cell r="E12" t="str">
            <v>HW100-BP14929</v>
          </cell>
          <cell r="Y12" t="str">
            <v>BLDC</v>
          </cell>
        </row>
        <row r="13">
          <cell r="E13" t="str">
            <v>HW70-B14929</v>
          </cell>
          <cell r="Y13" t="str">
            <v>DD</v>
          </cell>
        </row>
        <row r="14">
          <cell r="E14" t="str">
            <v>HW80-B14939W</v>
          </cell>
          <cell r="Y14" t="str">
            <v>DD</v>
          </cell>
        </row>
        <row r="15">
          <cell r="E15" t="str">
            <v>HW80-B14939</v>
          </cell>
          <cell r="Y15" t="str">
            <v>DD</v>
          </cell>
        </row>
        <row r="16">
          <cell r="E16" t="str">
            <v>HW90-BP14939</v>
          </cell>
          <cell r="Y16" t="str">
            <v>BLDC</v>
          </cell>
        </row>
        <row r="17">
          <cell r="E17" t="str">
            <v>HW90-B14939</v>
          </cell>
          <cell r="Y17" t="str">
            <v>DD</v>
          </cell>
        </row>
        <row r="18">
          <cell r="E18" t="str">
            <v>HW100-B14939</v>
          </cell>
          <cell r="Y18" t="str">
            <v>DD</v>
          </cell>
        </row>
        <row r="19">
          <cell r="E19" t="str">
            <v>HW81-NBP14939</v>
          </cell>
          <cell r="Y19" t="str">
            <v>BLDC</v>
          </cell>
        </row>
        <row r="20">
          <cell r="E20" t="str">
            <v>HW91-NBP14939</v>
          </cell>
          <cell r="Y20" t="str">
            <v>BLDC</v>
          </cell>
        </row>
        <row r="21">
          <cell r="E21" t="str">
            <v>HW101-NBP14939</v>
          </cell>
          <cell r="Y21" t="str">
            <v>BLDC</v>
          </cell>
        </row>
        <row r="22">
          <cell r="E22" t="str">
            <v>HW80-B14959EU1</v>
          </cell>
          <cell r="Y22" t="str">
            <v>DD</v>
          </cell>
        </row>
        <row r="23">
          <cell r="E23" t="str">
            <v>HW80-B14959YEU1</v>
          </cell>
          <cell r="Y23" t="str">
            <v>DD</v>
          </cell>
        </row>
        <row r="24">
          <cell r="E24" t="str">
            <v>HW90-B14959U1</v>
          </cell>
          <cell r="Y24" t="str">
            <v>DD</v>
          </cell>
        </row>
        <row r="25">
          <cell r="E25" t="str">
            <v>HW90-B14959EU1</v>
          </cell>
          <cell r="Y25" t="str">
            <v>DD</v>
          </cell>
        </row>
        <row r="26">
          <cell r="E26" t="str">
            <v>HW100-B14959U1</v>
          </cell>
          <cell r="Y26" t="str">
            <v>DD</v>
          </cell>
        </row>
        <row r="27">
          <cell r="E27" t="str">
            <v>HW80-B14979</v>
          </cell>
          <cell r="Y27" t="str">
            <v>DD</v>
          </cell>
        </row>
        <row r="28">
          <cell r="E28" t="str">
            <v>HW90-B14979</v>
          </cell>
          <cell r="Y28" t="str">
            <v>DD</v>
          </cell>
        </row>
        <row r="29">
          <cell r="E29" t="str">
            <v>HW80-BD14979EU1</v>
          </cell>
          <cell r="Y29" t="str">
            <v>DD</v>
          </cell>
        </row>
        <row r="30">
          <cell r="E30" t="str">
            <v>HW90-BD14979U1</v>
          </cell>
          <cell r="Y30" t="str">
            <v>DD</v>
          </cell>
        </row>
        <row r="31">
          <cell r="E31" t="str">
            <v>HW90-BD14979EU1</v>
          </cell>
          <cell r="Y31" t="str">
            <v>DD</v>
          </cell>
        </row>
        <row r="32">
          <cell r="E32" t="str">
            <v>HW90-B14979YU1</v>
          </cell>
          <cell r="Y32" t="str">
            <v>DD</v>
          </cell>
        </row>
        <row r="33">
          <cell r="E33" t="str">
            <v>HW100-BD14979U1</v>
          </cell>
          <cell r="Y33" t="str">
            <v>DD</v>
          </cell>
        </row>
        <row r="34">
          <cell r="E34" t="str">
            <v>HW110-B14979U1</v>
          </cell>
          <cell r="Y34" t="str">
            <v>DD</v>
          </cell>
        </row>
        <row r="35">
          <cell r="E35" t="str">
            <v>HW120-B14979EU1</v>
          </cell>
          <cell r="Y35" t="str">
            <v>DD</v>
          </cell>
        </row>
        <row r="36">
          <cell r="E36" t="str">
            <v>HW50-BP12307</v>
          </cell>
          <cell r="Y36" t="str">
            <v>BLDC</v>
          </cell>
        </row>
        <row r="37">
          <cell r="E37" t="str">
            <v>HW50-BP12307U1</v>
          </cell>
          <cell r="Y37" t="str">
            <v>BLDC</v>
          </cell>
          <cell r="DM37">
            <v>379</v>
          </cell>
        </row>
        <row r="38">
          <cell r="E38" t="str">
            <v>HW50-BP12307AU1</v>
          </cell>
          <cell r="Y38" t="str">
            <v>BLDC</v>
          </cell>
        </row>
        <row r="39">
          <cell r="E39" t="str">
            <v>HW50-BP12307GU1</v>
          </cell>
          <cell r="Y39" t="str">
            <v>BLDC</v>
          </cell>
        </row>
        <row r="40">
          <cell r="E40" t="str">
            <v>HW90-B145X-LINE</v>
          </cell>
          <cell r="Y40" t="str">
            <v>DD</v>
          </cell>
        </row>
        <row r="41">
          <cell r="E41" t="str">
            <v>HW90-B14TEAM5</v>
          </cell>
          <cell r="Y41" t="str">
            <v>DD</v>
          </cell>
        </row>
        <row r="42">
          <cell r="E42" t="str">
            <v>HW100-BD14397U1</v>
          </cell>
          <cell r="Y42" t="str">
            <v>DD</v>
          </cell>
        </row>
        <row r="43">
          <cell r="E43" t="str">
            <v>HW110-BD14397U1</v>
          </cell>
          <cell r="Y43" t="str">
            <v>DD</v>
          </cell>
          <cell r="DM43">
            <v>545</v>
          </cell>
        </row>
        <row r="44">
          <cell r="E44" t="str">
            <v>HW100-BP14357U1</v>
          </cell>
          <cell r="Y44" t="str">
            <v>BLDC</v>
          </cell>
        </row>
        <row r="45">
          <cell r="E45" t="str">
            <v>HW110-BP14357U1</v>
          </cell>
          <cell r="Y45" t="str">
            <v>BLDC</v>
          </cell>
        </row>
        <row r="46">
          <cell r="E46" t="str">
            <v>HWD100-BP14939</v>
          </cell>
          <cell r="Y46" t="str">
            <v>BLDC</v>
          </cell>
        </row>
        <row r="47">
          <cell r="E47" t="str">
            <v>HWD100-B14939</v>
          </cell>
          <cell r="Y47" t="str">
            <v>DD</v>
          </cell>
        </row>
        <row r="48">
          <cell r="E48" t="str">
            <v>HWD80-B14939</v>
          </cell>
          <cell r="Y48" t="str">
            <v>DD</v>
          </cell>
        </row>
        <row r="49">
          <cell r="E49" t="str">
            <v>HWD90-B14959U1</v>
          </cell>
          <cell r="Y49" t="str">
            <v>DD</v>
          </cell>
        </row>
        <row r="50">
          <cell r="E50" t="str">
            <v>HWD80-B14979</v>
          </cell>
          <cell r="Y50" t="str">
            <v>DD</v>
          </cell>
        </row>
        <row r="51">
          <cell r="E51" t="str">
            <v>HWD100-BD14979U1</v>
          </cell>
          <cell r="Y51" t="str">
            <v>DD</v>
          </cell>
        </row>
        <row r="52">
          <cell r="E52" t="str">
            <v>HWD120-B14979U1</v>
          </cell>
          <cell r="Y52" t="str">
            <v>DD</v>
          </cell>
        </row>
        <row r="53">
          <cell r="E53" t="str">
            <v>HWD80-B14979U1</v>
          </cell>
          <cell r="Y53" t="str">
            <v>DD</v>
          </cell>
        </row>
        <row r="54">
          <cell r="E54" t="str">
            <v>HWD100-BD14397U1​</v>
          </cell>
          <cell r="Y54" t="str">
            <v>DD</v>
          </cell>
        </row>
        <row r="55">
          <cell r="E55" t="str">
            <v>HWD120-BD16397EU1</v>
          </cell>
          <cell r="Y55" t="str">
            <v>DD</v>
          </cell>
          <cell r="DM55">
            <v>1050</v>
          </cell>
        </row>
        <row r="56">
          <cell r="E56" t="str">
            <v>HWD120-BP14357U1</v>
          </cell>
          <cell r="Y56" t="str">
            <v>BLDC</v>
          </cell>
        </row>
        <row r="57">
          <cell r="E57" t="str">
            <v>HWD50-BP12307U1</v>
          </cell>
          <cell r="Y57" t="str">
            <v>BLDC</v>
          </cell>
          <cell r="DM57">
            <v>499</v>
          </cell>
        </row>
        <row r="58">
          <cell r="E58" t="str">
            <v>RTXSGQ47TMC5/-84</v>
          </cell>
          <cell r="Y58" t="str">
            <v>BLDC</v>
          </cell>
        </row>
        <row r="59">
          <cell r="E59" t="str">
            <v>RTXSGP47TMSCE-84</v>
          </cell>
          <cell r="Y59" t="str">
            <v>BLDC</v>
          </cell>
        </row>
        <row r="60">
          <cell r="E60" t="str">
            <v>RTXSGQ48TMSCE-84</v>
          </cell>
          <cell r="Y60" t="str">
            <v>BLDC</v>
          </cell>
        </row>
        <row r="61">
          <cell r="E61" t="str">
            <v>THASNQ466TM4-84</v>
          </cell>
          <cell r="Y61" t="str">
            <v>BLDC</v>
          </cell>
        </row>
        <row r="62">
          <cell r="E62" t="str">
            <v>THASNQ476TM5-84</v>
          </cell>
          <cell r="Y62" t="str">
            <v>BLDC</v>
          </cell>
        </row>
        <row r="63">
          <cell r="E63" t="str">
            <v>THASNQ476TM4-84</v>
          </cell>
          <cell r="Y63" t="str">
            <v>BLDC</v>
          </cell>
        </row>
        <row r="64">
          <cell r="E64" t="str">
            <v>THASNQ286TMR5-84</v>
          </cell>
          <cell r="Y64" t="str">
            <v>BLDC</v>
          </cell>
        </row>
        <row r="65">
          <cell r="E65" t="str">
            <v>THASNQ286TM5-84</v>
          </cell>
          <cell r="Y65" t="str">
            <v>BLDC</v>
          </cell>
          <cell r="DM65">
            <v>299</v>
          </cell>
        </row>
        <row r="66">
          <cell r="E66" t="str">
            <v>HD80-E929E</v>
          </cell>
          <cell r="Y66" t="str">
            <v>AC</v>
          </cell>
        </row>
        <row r="67">
          <cell r="E67" t="str">
            <v>HD81-A3939E</v>
          </cell>
          <cell r="Y67" t="str">
            <v>BLDC</v>
          </cell>
        </row>
        <row r="68">
          <cell r="E68" t="str">
            <v>HD80-A2939</v>
          </cell>
          <cell r="Y68" t="str">
            <v>AC</v>
          </cell>
        </row>
        <row r="69">
          <cell r="E69" t="str">
            <v>HD91-A3939E</v>
          </cell>
          <cell r="Y69" t="str">
            <v>BLDC</v>
          </cell>
        </row>
        <row r="70">
          <cell r="E70" t="str">
            <v>HD90-A2939</v>
          </cell>
          <cell r="Y70" t="str">
            <v>AC</v>
          </cell>
        </row>
        <row r="71">
          <cell r="E71" t="str">
            <v>HD81-A3959E</v>
          </cell>
          <cell r="Y71" t="str">
            <v>BLDC</v>
          </cell>
        </row>
        <row r="72">
          <cell r="E72" t="str">
            <v>HD80-A3959</v>
          </cell>
          <cell r="Y72" t="str">
            <v>BLDC</v>
          </cell>
        </row>
        <row r="73">
          <cell r="E73" t="str">
            <v>HD91-A3959E</v>
          </cell>
          <cell r="Y73" t="str">
            <v>BLDC</v>
          </cell>
        </row>
        <row r="74">
          <cell r="E74" t="str">
            <v>HD90-A3959</v>
          </cell>
          <cell r="Y74" t="str">
            <v>BLDC</v>
          </cell>
        </row>
        <row r="75">
          <cell r="E75" t="str">
            <v>HD100-A2979N</v>
          </cell>
          <cell r="Y75" t="str">
            <v>BLDC</v>
          </cell>
        </row>
        <row r="76">
          <cell r="E76" t="str">
            <v>HD90-A3Q979U1</v>
          </cell>
          <cell r="Y76" t="str">
            <v>BLDC</v>
          </cell>
        </row>
        <row r="77">
          <cell r="E77" t="str">
            <v>HD90-A35XLINE-DE</v>
          </cell>
          <cell r="Y77" t="str">
            <v>BLDC</v>
          </cell>
        </row>
        <row r="78">
          <cell r="E78" t="str">
            <v>HD90-A3TEAM5</v>
          </cell>
          <cell r="Y78" t="str">
            <v>BLDC</v>
          </cell>
        </row>
        <row r="79">
          <cell r="E79" t="str">
            <v>HD90-A3Q397U1</v>
          </cell>
          <cell r="Y79" t="str">
            <v>BLDC</v>
          </cell>
          <cell r="DM79">
            <v>629</v>
          </cell>
        </row>
        <row r="80">
          <cell r="E80" t="str">
            <v>H3W4 272DA3/1-S</v>
          </cell>
          <cell r="Y80" t="str">
            <v>AC</v>
          </cell>
        </row>
        <row r="81">
          <cell r="E81" t="str">
            <v>H3W 482DA3/1-S</v>
          </cell>
          <cell r="Y81" t="str">
            <v>AC</v>
          </cell>
        </row>
        <row r="82">
          <cell r="E82" t="str">
            <v>H3WOSQ485TA4-84</v>
          </cell>
          <cell r="Y82" t="str">
            <v>AC</v>
          </cell>
        </row>
        <row r="83">
          <cell r="E83" t="str">
            <v>H3WOSQ495TA4-84</v>
          </cell>
          <cell r="Y83" t="str">
            <v>AC</v>
          </cell>
        </row>
        <row r="84">
          <cell r="E84" t="str">
            <v>H3WOSQ4105TA4-84</v>
          </cell>
          <cell r="Y84" t="str">
            <v>AC</v>
          </cell>
        </row>
        <row r="85">
          <cell r="E85" t="str">
            <v>RH3W 48HMCB-84</v>
          </cell>
          <cell r="Y85" t="str">
            <v>Inverter</v>
          </cell>
        </row>
        <row r="86">
          <cell r="E86" t="str">
            <v>RH3W 49HMCB-84</v>
          </cell>
          <cell r="Y86" t="str">
            <v>Inverter</v>
          </cell>
        </row>
        <row r="87">
          <cell r="E87" t="str">
            <v>HWQ4 47AMC/1-84</v>
          </cell>
          <cell r="Y87" t="str">
            <v>Inverter</v>
          </cell>
        </row>
        <row r="88">
          <cell r="E88" t="str">
            <v>HWQ 48AMC/1-84</v>
          </cell>
          <cell r="Y88" t="str">
            <v>Inverter</v>
          </cell>
        </row>
        <row r="89">
          <cell r="E89" t="str">
            <v>HWQ 49AMC6/1-84</v>
          </cell>
          <cell r="Y89" t="str">
            <v>Inverter</v>
          </cell>
        </row>
        <row r="90">
          <cell r="E90" t="str">
            <v>HWQ 410AMC6/1-84</v>
          </cell>
          <cell r="Y90" t="str">
            <v>Inverter</v>
          </cell>
        </row>
        <row r="91">
          <cell r="E91" t="str">
            <v>H7W4 48MBC-84</v>
          </cell>
          <cell r="Y91" t="str">
            <v>Inverter</v>
          </cell>
        </row>
        <row r="92">
          <cell r="E92" t="str">
            <v>H7W4 49MBC-84</v>
          </cell>
          <cell r="Y92" t="str">
            <v>Inverter</v>
          </cell>
        </row>
        <row r="93">
          <cell r="E93" t="str">
            <v>H7W 4105MBC-84</v>
          </cell>
          <cell r="Y93" t="str">
            <v>Inverter</v>
          </cell>
        </row>
        <row r="94">
          <cell r="E94" t="str">
            <v>H7W 412MBC-84</v>
          </cell>
          <cell r="Y94" t="str">
            <v>Inverter</v>
          </cell>
        </row>
        <row r="95">
          <cell r="E95" t="str">
            <v>H3TMQ 06TAE/1-84</v>
          </cell>
          <cell r="Y95" t="str">
            <v>AC</v>
          </cell>
        </row>
        <row r="96">
          <cell r="E96" t="str">
            <v>H3TMQ 47TAE/1-84</v>
          </cell>
          <cell r="Y96" t="str">
            <v>AC</v>
          </cell>
        </row>
        <row r="97">
          <cell r="E97" t="str">
            <v>H3TSMQ47TAMCE-84</v>
          </cell>
          <cell r="Y97" t="str">
            <v>Inverter</v>
          </cell>
        </row>
        <row r="98">
          <cell r="E98" t="str">
            <v>H3TMQ285TAMCE84</v>
          </cell>
          <cell r="Y98" t="str">
            <v>Inverter</v>
          </cell>
        </row>
        <row r="99">
          <cell r="E99" t="str">
            <v>H3TSMQ48TAMCE-84</v>
          </cell>
          <cell r="Y99" t="str">
            <v>Inverter</v>
          </cell>
        </row>
        <row r="100">
          <cell r="E100" t="str">
            <v>THOSQ275D3-S</v>
          </cell>
          <cell r="Y100" t="str">
            <v>AC</v>
          </cell>
        </row>
        <row r="101">
          <cell r="E101" t="str">
            <v>THOQ474TM5-84</v>
          </cell>
          <cell r="Y101" t="str">
            <v>Inverter</v>
          </cell>
        </row>
        <row r="102">
          <cell r="E102" t="str">
            <v>THOSQ486TM4-84</v>
          </cell>
          <cell r="Y102" t="str">
            <v>Inverter</v>
          </cell>
        </row>
        <row r="103">
          <cell r="E103" t="str">
            <v>THOSQ085D2-S</v>
          </cell>
          <cell r="Y103" t="str">
            <v>AC</v>
          </cell>
        </row>
        <row r="104">
          <cell r="E104" t="str">
            <v>H3DO4755T2/1-84</v>
          </cell>
          <cell r="Y104" t="str">
            <v>AC</v>
          </cell>
        </row>
        <row r="105">
          <cell r="E105" t="str">
            <v>HDQ 475AMC-84</v>
          </cell>
          <cell r="Y105" t="str">
            <v>Inverter</v>
          </cell>
        </row>
        <row r="106">
          <cell r="E106" t="str">
            <v>HDQ 485AMC-84</v>
          </cell>
          <cell r="Y106" t="str">
            <v>Inverter</v>
          </cell>
        </row>
        <row r="107">
          <cell r="E107" t="str">
            <v>HLE C7DE-84</v>
          </cell>
          <cell r="Y107" t="str">
            <v>AC</v>
          </cell>
        </row>
        <row r="108">
          <cell r="E108" t="str">
            <v>HLE C8DE-84</v>
          </cell>
          <cell r="Y108" t="str">
            <v>AC</v>
          </cell>
        </row>
        <row r="109">
          <cell r="E109" t="str">
            <v>ND4 H7A2TCE-84</v>
          </cell>
          <cell r="Y109" t="str">
            <v>AC</v>
          </cell>
        </row>
        <row r="110">
          <cell r="E110" t="str">
            <v>NDE H7A2TCES-84</v>
          </cell>
          <cell r="Y110" t="str">
            <v>AC</v>
          </cell>
        </row>
        <row r="111">
          <cell r="E111" t="str">
            <v>NDE H8A2TCES-84</v>
          </cell>
          <cell r="Y111" t="str">
            <v>AC</v>
          </cell>
        </row>
        <row r="112">
          <cell r="E112" t="str">
            <v>NDEH10A2TCBES-84</v>
          </cell>
          <cell r="Y112" t="str">
            <v>AC</v>
          </cell>
        </row>
        <row r="113">
          <cell r="E113" t="str">
            <v>HW70-BP14637T</v>
          </cell>
          <cell r="Y113" t="str">
            <v>BPM</v>
          </cell>
          <cell r="DM113">
            <v>225</v>
          </cell>
        </row>
        <row r="114">
          <cell r="E114" t="str">
            <v>HW70-BP1433637T</v>
          </cell>
          <cell r="Y114" t="str">
            <v>BPM</v>
          </cell>
        </row>
        <row r="115">
          <cell r="E115" t="str">
            <v>HW80-BP14637T</v>
          </cell>
          <cell r="Y115" t="str">
            <v>BPM</v>
          </cell>
        </row>
        <row r="116">
          <cell r="E116" t="str">
            <v>HW80-BP1427637T</v>
          </cell>
          <cell r="Y116" t="str">
            <v>BPM</v>
          </cell>
        </row>
        <row r="117">
          <cell r="E117" t="str">
            <v>HW80-BP1426637T</v>
          </cell>
          <cell r="Y117" t="str">
            <v>BPM</v>
          </cell>
          <cell r="DM117">
            <v>239</v>
          </cell>
        </row>
        <row r="118">
          <cell r="E118" t="str">
            <v>HW80-BP1433637T</v>
          </cell>
          <cell r="Y118" t="str">
            <v>BPM</v>
          </cell>
        </row>
        <row r="119">
          <cell r="E119" t="str">
            <v>HW90-BP14637T</v>
          </cell>
          <cell r="Y119" t="str">
            <v>BPM</v>
          </cell>
        </row>
        <row r="120">
          <cell r="E120" t="str">
            <v>HW90-BP1426637T</v>
          </cell>
          <cell r="Y120" t="str">
            <v>BPM</v>
          </cell>
        </row>
        <row r="121">
          <cell r="E121" t="str">
            <v>HW90-BP1433637T</v>
          </cell>
          <cell r="Y121" t="str">
            <v>BPM</v>
          </cell>
        </row>
        <row r="122">
          <cell r="E122" t="str">
            <v>HW100-BP14637</v>
          </cell>
          <cell r="Y122" t="str">
            <v>BPM</v>
          </cell>
          <cell r="DM122">
            <v>289</v>
          </cell>
        </row>
        <row r="123">
          <cell r="E123" t="str">
            <v>HW100-BP1427637</v>
          </cell>
          <cell r="Y123" t="str">
            <v>BPM</v>
          </cell>
        </row>
        <row r="124">
          <cell r="E124" t="str">
            <v>HW100-BP1433637</v>
          </cell>
          <cell r="Y124" t="str">
            <v>BPM</v>
          </cell>
        </row>
        <row r="125">
          <cell r="E125" t="str">
            <v>HW70-BP14657TU1</v>
          </cell>
          <cell r="Y125" t="str">
            <v>BPM</v>
          </cell>
        </row>
        <row r="126">
          <cell r="E126" t="str">
            <v>HW80-BP14657TU1</v>
          </cell>
          <cell r="Y126" t="str">
            <v>BPM</v>
          </cell>
          <cell r="DM126">
            <v>297</v>
          </cell>
        </row>
        <row r="127">
          <cell r="E127" t="str">
            <v>HW80-BP14W657U1</v>
          </cell>
        </row>
        <row r="128">
          <cell r="E128" t="str">
            <v>HW90-BP14657TU1</v>
          </cell>
          <cell r="Y128" t="str">
            <v>BPM</v>
          </cell>
          <cell r="DM128">
            <v>309</v>
          </cell>
        </row>
        <row r="129">
          <cell r="E129" t="str">
            <v>HW90-BP1427657TU1</v>
          </cell>
          <cell r="Y129" t="str">
            <v>BPM</v>
          </cell>
        </row>
        <row r="130">
          <cell r="E130" t="str">
            <v>HW90-BP1433657TU1</v>
          </cell>
          <cell r="Y130" t="str">
            <v>BPM</v>
          </cell>
        </row>
        <row r="131">
          <cell r="E131" t="str">
            <v>HW90-BP14657BTU1</v>
          </cell>
          <cell r="Y131" t="str">
            <v>BPM</v>
          </cell>
        </row>
        <row r="132">
          <cell r="E132" t="str">
            <v>HW90-BP1433657BTU1</v>
          </cell>
          <cell r="Y132" t="str">
            <v>BPM</v>
          </cell>
        </row>
        <row r="133">
          <cell r="E133" t="str">
            <v>HW120-BP14657U1</v>
          </cell>
          <cell r="Y133" t="str">
            <v>BPM</v>
          </cell>
        </row>
        <row r="134">
          <cell r="E134" t="str">
            <v>HW140-BP14657U1</v>
          </cell>
          <cell r="Y134" t="str">
            <v>BPM</v>
          </cell>
        </row>
        <row r="135">
          <cell r="E135" t="str">
            <v>HW80-B14667TU1</v>
          </cell>
          <cell r="Y135" t="str">
            <v>DD</v>
          </cell>
          <cell r="DM135">
            <v>375</v>
          </cell>
        </row>
        <row r="136">
          <cell r="E136" t="str">
            <v>HW90-B14667TU1</v>
          </cell>
          <cell r="Y136" t="str">
            <v>DD</v>
          </cell>
          <cell r="DM136">
            <v>399</v>
          </cell>
        </row>
        <row r="137">
          <cell r="E137" t="str">
            <v>HW90-B14W667U1</v>
          </cell>
          <cell r="Y137" t="str">
            <v>DD</v>
          </cell>
        </row>
        <row r="138">
          <cell r="E138" t="str">
            <v>HW100-B14667U1</v>
          </cell>
          <cell r="Y138" t="str">
            <v>DD</v>
          </cell>
        </row>
        <row r="139">
          <cell r="E139" t="str">
            <v>HW130-B14667U1</v>
          </cell>
          <cell r="Y139" t="str">
            <v>DD</v>
          </cell>
        </row>
        <row r="140">
          <cell r="E140" t="str">
            <v>HW130-B14687U1</v>
          </cell>
          <cell r="Y140" t="str">
            <v>DD</v>
          </cell>
          <cell r="DM140">
            <v>582</v>
          </cell>
        </row>
        <row r="141">
          <cell r="E141" t="str">
            <v>HWD80-BP14637T</v>
          </cell>
          <cell r="Y141" t="str">
            <v>BPM</v>
          </cell>
          <cell r="DM141">
            <v>323</v>
          </cell>
        </row>
        <row r="142">
          <cell r="E142" t="str">
            <v>HWD80-BP1433637T</v>
          </cell>
          <cell r="Y142" t="str">
            <v>BPM</v>
          </cell>
        </row>
        <row r="143">
          <cell r="E143" t="str">
            <v>HWD100-BP14657U1</v>
          </cell>
          <cell r="Y143" t="str">
            <v>BPM</v>
          </cell>
          <cell r="DM143">
            <v>407</v>
          </cell>
        </row>
        <row r="144">
          <cell r="E144" t="str">
            <v>HWD130-BP14657U1</v>
          </cell>
          <cell r="Y144" t="str">
            <v>BPM</v>
          </cell>
        </row>
        <row r="145">
          <cell r="E145" t="str">
            <v>HWD90-BP14667TU1</v>
          </cell>
          <cell r="Y145" t="str">
            <v>BPM</v>
          </cell>
        </row>
        <row r="146">
          <cell r="E146" t="str">
            <v>HWD80-BP14687TU1</v>
          </cell>
          <cell r="Y146" t="str">
            <v>BPM</v>
          </cell>
        </row>
        <row r="147">
          <cell r="E147" t="str">
            <v>HW90-BPD13386U1</v>
          </cell>
          <cell r="Y147" t="str">
            <v>BPM</v>
          </cell>
        </row>
        <row r="148">
          <cell r="E148" t="str">
            <v>HW90-BPD13386GU1</v>
          </cell>
          <cell r="Y148" t="str">
            <v>BPM</v>
          </cell>
          <cell r="DM148">
            <v>583</v>
          </cell>
        </row>
        <row r="149">
          <cell r="E149" t="str">
            <v>HD80-C33637</v>
          </cell>
          <cell r="Y149" t="str">
            <v>BPM</v>
          </cell>
        </row>
        <row r="150">
          <cell r="E150" t="str">
            <v>HD80-D637</v>
          </cell>
          <cell r="Y150" t="str">
            <v>BPM</v>
          </cell>
        </row>
        <row r="151">
          <cell r="E151" t="str">
            <v>HD90-C637</v>
          </cell>
          <cell r="Y151" t="str">
            <v>BPM</v>
          </cell>
          <cell r="DM151">
            <v>329</v>
          </cell>
        </row>
        <row r="152">
          <cell r="E152" t="str">
            <v>HD80-C657U1</v>
          </cell>
          <cell r="Y152" t="str">
            <v>BPM</v>
          </cell>
          <cell r="DM152">
            <v>335</v>
          </cell>
        </row>
        <row r="153">
          <cell r="E153" t="str">
            <v>HD90-C657U1</v>
          </cell>
          <cell r="Y153" t="str">
            <v>BPM</v>
          </cell>
        </row>
        <row r="154">
          <cell r="E154" t="str">
            <v>HD90-C33657U1</v>
          </cell>
          <cell r="Y154" t="str">
            <v>BPM</v>
          </cell>
        </row>
        <row r="155">
          <cell r="E155" t="str">
            <v>HD90-C657BU1</v>
          </cell>
          <cell r="Y155" t="str">
            <v>BPM</v>
          </cell>
        </row>
        <row r="156">
          <cell r="E156" t="str">
            <v>HD90-C33657BU1</v>
          </cell>
          <cell r="Y156" t="str">
            <v>BPM</v>
          </cell>
        </row>
        <row r="157">
          <cell r="E157" t="str">
            <v>HD90-B667U1</v>
          </cell>
          <cell r="Y157" t="str">
            <v>BPM</v>
          </cell>
          <cell r="DM157">
            <v>428</v>
          </cell>
        </row>
        <row r="158">
          <cell r="E158" t="str">
            <v>HD90-B667WU1</v>
          </cell>
          <cell r="Y158" t="str">
            <v>BPM</v>
          </cell>
        </row>
        <row r="159">
          <cell r="E159" t="str">
            <v>HD90-A687U1</v>
          </cell>
          <cell r="Y159" t="str">
            <v>BPM</v>
          </cell>
          <cell r="DM159">
            <v>472</v>
          </cell>
        </row>
        <row r="160">
          <cell r="E160" t="str">
            <v>HEYQ27SB7-84</v>
          </cell>
          <cell r="Y160" t="str">
            <v>BPM</v>
          </cell>
        </row>
        <row r="161">
          <cell r="E161" t="str">
            <v>HGDQ48SB6-84</v>
          </cell>
          <cell r="Y161" t="str">
            <v>BPM</v>
          </cell>
        </row>
        <row r="162">
          <cell r="E162" t="str">
            <v>HGDQ49SBL8U-84</v>
          </cell>
          <cell r="Y162" t="str">
            <v>BPM</v>
          </cell>
        </row>
        <row r="163">
          <cell r="E163" t="str">
            <v>HGWDQ485SB6-84</v>
          </cell>
          <cell r="Y163" t="str">
            <v>BPM</v>
          </cell>
        </row>
        <row r="164">
          <cell r="E164" t="str">
            <v>HPGDL 8N1B-84</v>
          </cell>
          <cell r="Y164" t="str">
            <v>AC</v>
          </cell>
        </row>
        <row r="165">
          <cell r="E165" t="str">
            <v>HPGDL 8N2B-84</v>
          </cell>
          <cell r="Y165" t="str">
            <v>AC</v>
          </cell>
        </row>
        <row r="166">
          <cell r="E166" t="str">
            <v>HAMQD 410CBL9GN-84</v>
          </cell>
          <cell r="Y166" t="str">
            <v>AC</v>
          </cell>
          <cell r="DM166">
            <v>646</v>
          </cell>
        </row>
        <row r="167">
          <cell r="E167" t="str">
            <v>HMQD 410CBL9-84</v>
          </cell>
          <cell r="Y167" t="str">
            <v>AC</v>
          </cell>
        </row>
        <row r="168">
          <cell r="E168" t="str">
            <v>HW80-B14367WU1</v>
          </cell>
          <cell r="Y168" t="str">
            <v>DD</v>
          </cell>
        </row>
        <row r="169">
          <cell r="E169" t="str">
            <v>NPI</v>
          </cell>
        </row>
      </sheetData>
      <sheetData sheetId="2"/>
      <sheetData sheetId="3">
        <row r="1">
          <cell r="Y1">
            <v>25</v>
          </cell>
        </row>
        <row r="2">
          <cell r="Y2" t="str">
            <v>Brutto Weight (KG)</v>
          </cell>
        </row>
        <row r="3">
          <cell r="Y3">
            <v>66</v>
          </cell>
        </row>
        <row r="4">
          <cell r="Y4">
            <v>70</v>
          </cell>
        </row>
        <row r="5">
          <cell r="Y5">
            <v>38</v>
          </cell>
        </row>
        <row r="6">
          <cell r="Y6">
            <v>70</v>
          </cell>
        </row>
        <row r="7">
          <cell r="Y7">
            <v>55</v>
          </cell>
        </row>
        <row r="8">
          <cell r="Y8">
            <v>94</v>
          </cell>
        </row>
        <row r="9">
          <cell r="Y9">
            <v>114</v>
          </cell>
        </row>
        <row r="10">
          <cell r="Y10">
            <v>118</v>
          </cell>
        </row>
        <row r="11">
          <cell r="Y11">
            <v>117</v>
          </cell>
        </row>
        <row r="12">
          <cell r="Y12">
            <v>111</v>
          </cell>
        </row>
        <row r="13">
          <cell r="Y13">
            <v>94</v>
          </cell>
        </row>
        <row r="14">
          <cell r="Y14">
            <v>78</v>
          </cell>
        </row>
        <row r="15">
          <cell r="Y15">
            <v>103</v>
          </cell>
        </row>
        <row r="16">
          <cell r="Y16">
            <v>100</v>
          </cell>
        </row>
        <row r="17">
          <cell r="Y17">
            <v>81</v>
          </cell>
        </row>
        <row r="18">
          <cell r="Y18">
            <v>85</v>
          </cell>
        </row>
        <row r="19">
          <cell r="Y19">
            <v>75</v>
          </cell>
        </row>
        <row r="20">
          <cell r="Y20">
            <v>100</v>
          </cell>
        </row>
        <row r="21">
          <cell r="Y21">
            <v>114</v>
          </cell>
        </row>
        <row r="22">
          <cell r="Y22">
            <v>111</v>
          </cell>
        </row>
        <row r="23">
          <cell r="Y23">
            <v>98</v>
          </cell>
        </row>
        <row r="24">
          <cell r="Y24">
            <v>105</v>
          </cell>
        </row>
        <row r="25">
          <cell r="Y25">
            <v>89</v>
          </cell>
        </row>
        <row r="26">
          <cell r="Y26">
            <v>96</v>
          </cell>
        </row>
        <row r="27">
          <cell r="Y27">
            <v>96</v>
          </cell>
        </row>
        <row r="28">
          <cell r="Y28">
            <v>120</v>
          </cell>
        </row>
        <row r="29">
          <cell r="Y29">
            <v>93</v>
          </cell>
        </row>
        <row r="30">
          <cell r="Y30" t="str">
            <v>-</v>
          </cell>
        </row>
        <row r="31">
          <cell r="Y31">
            <v>134</v>
          </cell>
        </row>
        <row r="32">
          <cell r="Y32">
            <v>95</v>
          </cell>
        </row>
        <row r="33">
          <cell r="Y33">
            <v>193</v>
          </cell>
        </row>
        <row r="34">
          <cell r="Y34">
            <v>113</v>
          </cell>
        </row>
        <row r="35">
          <cell r="Y35">
            <v>105</v>
          </cell>
        </row>
        <row r="36">
          <cell r="Y36">
            <v>110</v>
          </cell>
        </row>
        <row r="37">
          <cell r="Y37">
            <v>98</v>
          </cell>
        </row>
        <row r="38">
          <cell r="Y38">
            <v>98</v>
          </cell>
        </row>
        <row r="39">
          <cell r="Y39">
            <v>102</v>
          </cell>
        </row>
        <row r="40">
          <cell r="Y40">
            <v>98</v>
          </cell>
        </row>
        <row r="41">
          <cell r="Y41">
            <v>98</v>
          </cell>
        </row>
        <row r="42">
          <cell r="Y42">
            <v>147</v>
          </cell>
        </row>
        <row r="43">
          <cell r="Y43">
            <v>150</v>
          </cell>
        </row>
        <row r="44">
          <cell r="Y44">
            <v>128</v>
          </cell>
        </row>
        <row r="45">
          <cell r="Y45">
            <v>185</v>
          </cell>
        </row>
        <row r="46">
          <cell r="Y46">
            <v>167</v>
          </cell>
        </row>
        <row r="47">
          <cell r="Y47">
            <v>95</v>
          </cell>
        </row>
        <row r="48">
          <cell r="Y48">
            <v>110</v>
          </cell>
        </row>
        <row r="49">
          <cell r="Y49">
            <v>110</v>
          </cell>
        </row>
        <row r="50">
          <cell r="Y50">
            <v>124</v>
          </cell>
        </row>
        <row r="51">
          <cell r="Y51">
            <v>172</v>
          </cell>
        </row>
        <row r="52">
          <cell r="Y52">
            <v>135</v>
          </cell>
        </row>
        <row r="53">
          <cell r="Y53">
            <v>115</v>
          </cell>
        </row>
        <row r="54">
          <cell r="Y54">
            <v>135</v>
          </cell>
        </row>
        <row r="55">
          <cell r="Y55">
            <v>145</v>
          </cell>
        </row>
        <row r="56">
          <cell r="Y56">
            <v>95</v>
          </cell>
        </row>
        <row r="57">
          <cell r="Y57">
            <v>115</v>
          </cell>
        </row>
        <row r="58">
          <cell r="Y58">
            <v>115</v>
          </cell>
        </row>
        <row r="59">
          <cell r="Y59">
            <v>104</v>
          </cell>
        </row>
        <row r="60">
          <cell r="Y60">
            <v>104</v>
          </cell>
        </row>
        <row r="61">
          <cell r="Y61">
            <v>66</v>
          </cell>
        </row>
        <row r="62">
          <cell r="Y62">
            <v>68</v>
          </cell>
        </row>
        <row r="63">
          <cell r="Y63">
            <v>77</v>
          </cell>
        </row>
        <row r="64">
          <cell r="Y64">
            <v>79</v>
          </cell>
        </row>
        <row r="65">
          <cell r="Y65">
            <v>93</v>
          </cell>
        </row>
        <row r="66">
          <cell r="Y66">
            <v>92.5</v>
          </cell>
        </row>
        <row r="67">
          <cell r="Y67">
            <v>56.5</v>
          </cell>
        </row>
        <row r="68">
          <cell r="Y68">
            <v>44</v>
          </cell>
        </row>
        <row r="69">
          <cell r="Y69">
            <v>55.5</v>
          </cell>
        </row>
        <row r="70">
          <cell r="Y70">
            <v>31</v>
          </cell>
        </row>
        <row r="71">
          <cell r="Y71">
            <v>44</v>
          </cell>
        </row>
        <row r="72">
          <cell r="Y72">
            <v>106</v>
          </cell>
        </row>
        <row r="73">
          <cell r="Y73" t="str">
            <v>-</v>
          </cell>
        </row>
        <row r="74">
          <cell r="Y74" t="str">
            <v>-</v>
          </cell>
        </row>
        <row r="75">
          <cell r="Y75" t="str">
            <v>-</v>
          </cell>
        </row>
        <row r="76">
          <cell r="Y76" t="str">
            <v>-</v>
          </cell>
        </row>
        <row r="77">
          <cell r="Y77" t="str">
            <v>-</v>
          </cell>
        </row>
        <row r="78">
          <cell r="Y78" t="str">
            <v>-</v>
          </cell>
        </row>
        <row r="79">
          <cell r="Y79" t="str">
            <v>-</v>
          </cell>
        </row>
        <row r="80">
          <cell r="Y80" t="str">
            <v>-</v>
          </cell>
        </row>
        <row r="81">
          <cell r="Y81" t="str">
            <v>-</v>
          </cell>
        </row>
        <row r="82">
          <cell r="Y82" t="str">
            <v>-</v>
          </cell>
        </row>
        <row r="83">
          <cell r="Y83" t="str">
            <v>-</v>
          </cell>
        </row>
        <row r="84">
          <cell r="Y84" t="str">
            <v>-</v>
          </cell>
        </row>
        <row r="85">
          <cell r="Y85" t="str">
            <v>-</v>
          </cell>
        </row>
        <row r="86">
          <cell r="Y86" t="str">
            <v>-</v>
          </cell>
        </row>
        <row r="87">
          <cell r="Y87" t="str">
            <v>-</v>
          </cell>
        </row>
        <row r="88">
          <cell r="Y88" t="str">
            <v>-</v>
          </cell>
        </row>
        <row r="89">
          <cell r="Y89" t="str">
            <v>-</v>
          </cell>
        </row>
        <row r="90">
          <cell r="Y90" t="str">
            <v>-</v>
          </cell>
        </row>
        <row r="91">
          <cell r="Y91" t="str">
            <v>-</v>
          </cell>
        </row>
        <row r="92">
          <cell r="Y92">
            <v>103</v>
          </cell>
        </row>
        <row r="93">
          <cell r="Y93">
            <v>103</v>
          </cell>
        </row>
        <row r="94">
          <cell r="Y94" t="str">
            <v>-</v>
          </cell>
        </row>
        <row r="95">
          <cell r="Y95" t="str">
            <v>-</v>
          </cell>
        </row>
        <row r="96">
          <cell r="Y96" t="str">
            <v>-</v>
          </cell>
        </row>
        <row r="97">
          <cell r="Y97" t="str">
            <v>-</v>
          </cell>
        </row>
        <row r="98">
          <cell r="Y98" t="str">
            <v>-</v>
          </cell>
        </row>
        <row r="99">
          <cell r="Y99" t="str">
            <v>-</v>
          </cell>
        </row>
        <row r="100">
          <cell r="Y100">
            <v>106</v>
          </cell>
        </row>
        <row r="101">
          <cell r="Y101">
            <v>108</v>
          </cell>
        </row>
        <row r="102">
          <cell r="Y102">
            <v>113</v>
          </cell>
        </row>
        <row r="103">
          <cell r="Y103" t="str">
            <v>-</v>
          </cell>
        </row>
        <row r="104">
          <cell r="Y104">
            <v>115</v>
          </cell>
        </row>
        <row r="105">
          <cell r="Y105">
            <v>110</v>
          </cell>
        </row>
        <row r="106">
          <cell r="Y106">
            <v>88</v>
          </cell>
        </row>
        <row r="107">
          <cell r="Y107">
            <v>90</v>
          </cell>
        </row>
        <row r="108">
          <cell r="Y108">
            <v>88</v>
          </cell>
        </row>
        <row r="109">
          <cell r="Y109">
            <v>106</v>
          </cell>
        </row>
        <row r="110">
          <cell r="Y110">
            <v>105</v>
          </cell>
        </row>
        <row r="111">
          <cell r="Y111">
            <v>91</v>
          </cell>
        </row>
        <row r="112">
          <cell r="Y112">
            <v>88</v>
          </cell>
        </row>
        <row r="113">
          <cell r="Y113" t="str">
            <v>-</v>
          </cell>
        </row>
        <row r="114">
          <cell r="Y114">
            <v>110</v>
          </cell>
        </row>
        <row r="115">
          <cell r="Y115">
            <v>97</v>
          </cell>
        </row>
        <row r="116">
          <cell r="Y116">
            <v>98</v>
          </cell>
        </row>
        <row r="117">
          <cell r="Y117">
            <v>110</v>
          </cell>
        </row>
        <row r="118">
          <cell r="Y118">
            <v>110</v>
          </cell>
        </row>
        <row r="119">
          <cell r="Y119" t="str">
            <v>-</v>
          </cell>
        </row>
        <row r="120">
          <cell r="Y120">
            <v>147</v>
          </cell>
        </row>
        <row r="121">
          <cell r="Y121">
            <v>95</v>
          </cell>
        </row>
        <row r="122">
          <cell r="Y122">
            <v>117</v>
          </cell>
        </row>
        <row r="123">
          <cell r="Y123">
            <v>142</v>
          </cell>
        </row>
        <row r="124">
          <cell r="Y124">
            <v>124</v>
          </cell>
        </row>
        <row r="125">
          <cell r="Y125">
            <v>123</v>
          </cell>
        </row>
        <row r="126">
          <cell r="Y126">
            <v>172</v>
          </cell>
        </row>
        <row r="127">
          <cell r="Y127">
            <v>120</v>
          </cell>
        </row>
        <row r="128">
          <cell r="Y128">
            <v>120</v>
          </cell>
        </row>
        <row r="129">
          <cell r="Y129">
            <v>158</v>
          </cell>
        </row>
        <row r="130">
          <cell r="Y130">
            <v>120</v>
          </cell>
        </row>
        <row r="131">
          <cell r="Y131">
            <v>123</v>
          </cell>
        </row>
        <row r="132">
          <cell r="Y132">
            <v>125</v>
          </cell>
        </row>
        <row r="133">
          <cell r="Y133">
            <v>145</v>
          </cell>
        </row>
        <row r="134">
          <cell r="Y134">
            <v>145</v>
          </cell>
        </row>
        <row r="135">
          <cell r="Y135">
            <v>145</v>
          </cell>
        </row>
        <row r="136">
          <cell r="Y136" t="str">
            <v>-</v>
          </cell>
        </row>
        <row r="137">
          <cell r="Y137">
            <v>193</v>
          </cell>
        </row>
        <row r="138">
          <cell r="Y138">
            <v>115</v>
          </cell>
        </row>
        <row r="139">
          <cell r="Y139">
            <v>116</v>
          </cell>
        </row>
        <row r="140">
          <cell r="Y140">
            <v>110</v>
          </cell>
        </row>
        <row r="141">
          <cell r="Y141">
            <v>105</v>
          </cell>
        </row>
        <row r="142">
          <cell r="Y142">
            <v>103</v>
          </cell>
        </row>
        <row r="143">
          <cell r="Y143">
            <v>108</v>
          </cell>
        </row>
        <row r="144">
          <cell r="Y144" t="str">
            <v>-</v>
          </cell>
        </row>
        <row r="145">
          <cell r="Y145">
            <v>171</v>
          </cell>
        </row>
        <row r="146">
          <cell r="Y146">
            <v>185</v>
          </cell>
        </row>
        <row r="147">
          <cell r="Y147">
            <v>158</v>
          </cell>
        </row>
        <row r="148">
          <cell r="Y148">
            <v>95</v>
          </cell>
        </row>
        <row r="149">
          <cell r="Y149">
            <v>95</v>
          </cell>
        </row>
        <row r="150">
          <cell r="Y150" t="str">
            <v>-</v>
          </cell>
        </row>
        <row r="151">
          <cell r="Y151" t="str">
            <v>-</v>
          </cell>
        </row>
        <row r="152">
          <cell r="Y152">
            <v>110</v>
          </cell>
        </row>
        <row r="153">
          <cell r="Y153">
            <v>110</v>
          </cell>
        </row>
        <row r="154">
          <cell r="Y154">
            <v>115</v>
          </cell>
        </row>
        <row r="155">
          <cell r="Y155">
            <v>105</v>
          </cell>
        </row>
        <row r="156">
          <cell r="Y156">
            <v>105</v>
          </cell>
        </row>
        <row r="157">
          <cell r="Y157" t="str">
            <v>-</v>
          </cell>
        </row>
        <row r="158">
          <cell r="Y158" t="str">
            <v>-</v>
          </cell>
        </row>
        <row r="159">
          <cell r="Y159">
            <v>105</v>
          </cell>
        </row>
        <row r="160">
          <cell r="Y160" t="str">
            <v>-</v>
          </cell>
        </row>
        <row r="161">
          <cell r="Y161">
            <v>105</v>
          </cell>
        </row>
        <row r="173">
          <cell r="Y173">
            <v>98</v>
          </cell>
        </row>
        <row r="174">
          <cell r="Y174">
            <v>42.5</v>
          </cell>
        </row>
        <row r="175">
          <cell r="Y175">
            <v>82</v>
          </cell>
        </row>
        <row r="181">
          <cell r="Y181">
            <v>105</v>
          </cell>
        </row>
        <row r="188">
          <cell r="Y188">
            <v>135</v>
          </cell>
        </row>
        <row r="189">
          <cell r="Y189" t="str">
            <v>-</v>
          </cell>
        </row>
        <row r="190">
          <cell r="Y190">
            <v>116.15</v>
          </cell>
        </row>
        <row r="191">
          <cell r="Y191">
            <v>95</v>
          </cell>
        </row>
        <row r="192">
          <cell r="Y192">
            <v>94</v>
          </cell>
        </row>
        <row r="193">
          <cell r="Y193">
            <v>91</v>
          </cell>
        </row>
        <row r="194">
          <cell r="Y194">
            <v>167</v>
          </cell>
        </row>
      </sheetData>
      <sheetData sheetId="4"/>
      <sheetData sheetId="5">
        <row r="2">
          <cell r="Y2" t="str">
            <v>Energy label</v>
          </cell>
        </row>
        <row r="3">
          <cell r="Y3" t="str">
            <v xml:space="preserve">A </v>
          </cell>
        </row>
        <row r="4">
          <cell r="Y4" t="str">
            <v>B</v>
          </cell>
        </row>
        <row r="5">
          <cell r="Y5" t="str">
            <v>A-30</v>
          </cell>
        </row>
        <row r="6">
          <cell r="Y6" t="str">
            <v>C</v>
          </cell>
        </row>
        <row r="7">
          <cell r="Y7" t="str">
            <v>B</v>
          </cell>
        </row>
        <row r="8">
          <cell r="Y8" t="str">
            <v>A</v>
          </cell>
        </row>
        <row r="9">
          <cell r="Y9" t="str">
            <v>B</v>
          </cell>
        </row>
        <row r="10">
          <cell r="Y10" t="str">
            <v>C</v>
          </cell>
        </row>
        <row r="11">
          <cell r="Y11" t="str">
            <v>A</v>
          </cell>
        </row>
        <row r="12">
          <cell r="Y12" t="str">
            <v>C</v>
          </cell>
        </row>
        <row r="13">
          <cell r="Y13" t="str">
            <v>C</v>
          </cell>
        </row>
        <row r="14">
          <cell r="Y14" t="str">
            <v>B</v>
          </cell>
        </row>
        <row r="15">
          <cell r="Y15" t="str">
            <v>C</v>
          </cell>
        </row>
        <row r="16">
          <cell r="Y16" t="str">
            <v>B</v>
          </cell>
        </row>
        <row r="17">
          <cell r="Y17" t="str">
            <v>C</v>
          </cell>
        </row>
        <row r="18">
          <cell r="Y18" t="str">
            <v>C</v>
          </cell>
        </row>
        <row r="19">
          <cell r="Y19" t="str">
            <v>B</v>
          </cell>
        </row>
        <row r="20">
          <cell r="Y20" t="str">
            <v>A</v>
          </cell>
        </row>
        <row r="21">
          <cell r="Y21" t="str">
            <v>B</v>
          </cell>
        </row>
        <row r="22">
          <cell r="Y22" t="str">
            <v>C</v>
          </cell>
        </row>
        <row r="23">
          <cell r="Y23" t="str">
            <v>C</v>
          </cell>
        </row>
        <row r="24">
          <cell r="Y24" t="str">
            <v>D</v>
          </cell>
        </row>
        <row r="25">
          <cell r="Y25" t="str">
            <v>B</v>
          </cell>
        </row>
        <row r="26">
          <cell r="Y26" t="str">
            <v>C</v>
          </cell>
        </row>
        <row r="27">
          <cell r="Y27" t="str">
            <v>C</v>
          </cell>
        </row>
        <row r="28">
          <cell r="Y28" t="str">
            <v>E</v>
          </cell>
        </row>
        <row r="29">
          <cell r="Y29" t="str">
            <v>E</v>
          </cell>
        </row>
      </sheetData>
      <sheetData sheetId="6">
        <row r="1">
          <cell r="Y1">
            <v>34006213</v>
          </cell>
        </row>
        <row r="2">
          <cell r="Y2" t="str">
            <v>HSPR79F18DWMB</v>
          </cell>
        </row>
        <row r="3">
          <cell r="Y3" t="str">
            <v>NPI 2026</v>
          </cell>
        </row>
        <row r="4">
          <cell r="Y4" t="str">
            <v>SBS 3D</v>
          </cell>
        </row>
        <row r="7">
          <cell r="Y7" t="str">
            <v>√</v>
          </cell>
        </row>
        <row r="8">
          <cell r="Y8" t="str">
            <v>√</v>
          </cell>
        </row>
        <row r="11">
          <cell r="Y11" t="str">
            <v>√</v>
          </cell>
        </row>
        <row r="12">
          <cell r="Y12" t="str">
            <v>√</v>
          </cell>
        </row>
        <row r="13">
          <cell r="Y13" t="str">
            <v>Water dispenser (with tank</v>
          </cell>
        </row>
        <row r="14">
          <cell r="Y14" t="str">
            <v>√</v>
          </cell>
        </row>
        <row r="16">
          <cell r="Y16" t="str">
            <v>√</v>
          </cell>
        </row>
        <row r="18">
          <cell r="Y18" t="str">
            <v>√</v>
          </cell>
        </row>
        <row r="19">
          <cell r="Y19" t="str">
            <v>√</v>
          </cell>
        </row>
        <row r="21">
          <cell r="Y21" t="str">
            <v>√</v>
          </cell>
        </row>
        <row r="24">
          <cell r="Y24" t="str">
            <v>Apr 2026</v>
          </cell>
        </row>
        <row r="25">
          <cell r="Y25">
            <v>2098.5</v>
          </cell>
        </row>
        <row r="26">
          <cell r="Y26">
            <v>1399</v>
          </cell>
        </row>
        <row r="28">
          <cell r="Y28">
            <v>890</v>
          </cell>
        </row>
        <row r="30">
          <cell r="Y30">
            <v>720</v>
          </cell>
        </row>
        <row r="40">
          <cell r="Y40">
            <v>850</v>
          </cell>
        </row>
        <row r="45">
          <cell r="Y45" t="str">
            <v>Fridge-freezer combination</v>
          </cell>
        </row>
        <row r="46">
          <cell r="Y46" t="str">
            <v>Freestanding</v>
          </cell>
        </row>
        <row r="47">
          <cell r="Y47" t="str">
            <v>Haier</v>
          </cell>
        </row>
        <row r="48">
          <cell r="Y48" t="str">
            <v>Series 7</v>
          </cell>
        </row>
        <row r="51">
          <cell r="Y51" t="str">
            <v>China</v>
          </cell>
        </row>
        <row r="53">
          <cell r="Y53" t="str">
            <v>Black</v>
          </cell>
        </row>
        <row r="54">
          <cell r="Y54">
            <v>90.5</v>
          </cell>
        </row>
        <row r="55">
          <cell r="Y55">
            <v>177.5</v>
          </cell>
        </row>
        <row r="56">
          <cell r="Y56">
            <v>70.7</v>
          </cell>
        </row>
        <row r="57">
          <cell r="Y57">
            <v>97</v>
          </cell>
        </row>
        <row r="58">
          <cell r="Y58">
            <v>96.7</v>
          </cell>
        </row>
        <row r="59">
          <cell r="Y59">
            <v>188.2</v>
          </cell>
        </row>
        <row r="60">
          <cell r="Y60">
            <v>77.5</v>
          </cell>
        </row>
        <row r="61">
          <cell r="Y61">
            <v>105</v>
          </cell>
        </row>
        <row r="62">
          <cell r="Y62">
            <v>48</v>
          </cell>
        </row>
        <row r="63">
          <cell r="Y63" t="str">
            <v>Yes - front only</v>
          </cell>
        </row>
        <row r="64">
          <cell r="Y64" t="str">
            <v>Fridge-freezer combination, hinge cover, egg tray, ice cube tray</v>
          </cell>
        </row>
        <row r="65">
          <cell r="Y65">
            <v>220</v>
          </cell>
        </row>
        <row r="66">
          <cell r="Y66" t="str">
            <v>4 stars</v>
          </cell>
        </row>
        <row r="67">
          <cell r="Y67">
            <v>8</v>
          </cell>
        </row>
        <row r="68">
          <cell r="Y68">
            <v>1</v>
          </cell>
        </row>
        <row r="69">
          <cell r="Y69" t="str">
            <v>R600a</v>
          </cell>
        </row>
        <row r="70">
          <cell r="Y70">
            <v>384</v>
          </cell>
        </row>
        <row r="72">
          <cell r="Y72" t="str">
            <v>Automatic</v>
          </cell>
        </row>
        <row r="73">
          <cell r="Y73">
            <v>3</v>
          </cell>
        </row>
        <row r="74">
          <cell r="Y74" t="str">
            <v>Refrigerator compartment: 2 to 9 °C
Freezer compartment: -14 to -24 °C</v>
          </cell>
        </row>
        <row r="75">
          <cell r="Y75">
            <v>2</v>
          </cell>
        </row>
        <row r="76">
          <cell r="Y76">
            <v>5</v>
          </cell>
        </row>
        <row r="77">
          <cell r="Y77">
            <v>6</v>
          </cell>
        </row>
        <row r="78">
          <cell r="Y78">
            <v>0</v>
          </cell>
        </row>
        <row r="79">
          <cell r="Y79" t="str">
            <v>Glass</v>
          </cell>
        </row>
        <row r="80">
          <cell r="Y80" t="str">
            <v>N/A</v>
          </cell>
        </row>
        <row r="81">
          <cell r="Y81" t="str">
            <v>No</v>
          </cell>
        </row>
        <row r="82">
          <cell r="Y82" t="str">
            <v>YES</v>
          </cell>
        </row>
        <row r="83">
          <cell r="Y83" t="str">
            <v>NO</v>
          </cell>
        </row>
        <row r="84">
          <cell r="Y84">
            <v>189</v>
          </cell>
        </row>
        <row r="85">
          <cell r="Y85" t="str">
            <v>LEFT</v>
          </cell>
        </row>
        <row r="86">
          <cell r="Y86">
            <v>1</v>
          </cell>
        </row>
        <row r="87">
          <cell r="Y87" t="str">
            <v>Automatic</v>
          </cell>
        </row>
        <row r="88">
          <cell r="Y88" t="str">
            <v>YES</v>
          </cell>
        </row>
        <row r="89">
          <cell r="Y89" t="str">
            <v>NO</v>
          </cell>
        </row>
        <row r="90">
          <cell r="Y90" t="str">
            <v>NO</v>
          </cell>
        </row>
        <row r="91">
          <cell r="Y91" t="str">
            <v>YES</v>
          </cell>
        </row>
        <row r="92">
          <cell r="Y92" t="str">
            <v>NO</v>
          </cell>
        </row>
        <row r="93">
          <cell r="Y93" t="str">
            <v>NO</v>
          </cell>
        </row>
        <row r="94">
          <cell r="Y94" t="str">
            <v>YES</v>
          </cell>
        </row>
        <row r="95">
          <cell r="Y95" t="str">
            <v>N/A</v>
          </cell>
        </row>
        <row r="96">
          <cell r="Y96">
            <v>3</v>
          </cell>
        </row>
        <row r="97">
          <cell r="Y97" t="str">
            <v>NO</v>
          </cell>
        </row>
        <row r="98">
          <cell r="Y98" t="str">
            <v>LED</v>
          </cell>
        </row>
        <row r="100">
          <cell r="Y100" t="str">
            <v>YES</v>
          </cell>
        </row>
        <row r="101">
          <cell r="Y101" t="str">
            <v>YES</v>
          </cell>
        </row>
        <row r="102">
          <cell r="Y102" t="str">
            <v>NO</v>
          </cell>
        </row>
        <row r="103">
          <cell r="Y103" t="str">
            <v>YES</v>
          </cell>
        </row>
        <row r="104">
          <cell r="Y104" t="str">
            <v>NO</v>
          </cell>
        </row>
        <row r="105">
          <cell r="Y105" t="str">
            <v>NO</v>
          </cell>
        </row>
        <row r="106">
          <cell r="Y106" t="str">
            <v>None</v>
          </cell>
        </row>
        <row r="107">
          <cell r="Y107" t="str">
            <v>None</v>
          </cell>
        </row>
        <row r="108">
          <cell r="Y108" t="str">
            <v>NO</v>
          </cell>
        </row>
        <row r="109">
          <cell r="Y109" t="str">
            <v>None</v>
          </cell>
        </row>
        <row r="110">
          <cell r="Y110" t="str">
            <v>exterternal touch display</v>
          </cell>
        </row>
        <row r="111">
          <cell r="Y111" t="str">
            <v>Outside</v>
          </cell>
        </row>
        <row r="112">
          <cell r="Y112" t="str">
            <v>YES</v>
          </cell>
        </row>
        <row r="113">
          <cell r="Y113" t="str">
            <v>YES</v>
          </cell>
        </row>
        <row r="114">
          <cell r="Y114" t="str">
            <v>YES</v>
          </cell>
        </row>
        <row r="115">
          <cell r="Y115" t="str">
            <v>YES</v>
          </cell>
        </row>
        <row r="116">
          <cell r="Y116" t="str">
            <v>Yes</v>
          </cell>
        </row>
        <row r="117">
          <cell r="Y117" t="str">
            <v>220-240 Volt</v>
          </cell>
        </row>
        <row r="118">
          <cell r="Y118" t="str">
            <v>50 Hz</v>
          </cell>
        </row>
        <row r="121">
          <cell r="Y121" t="str">
            <v>Schuko</v>
          </cell>
        </row>
        <row r="122">
          <cell r="Y122" t="str">
            <v>D</v>
          </cell>
        </row>
        <row r="123">
          <cell r="Y123" t="str">
            <v>D</v>
          </cell>
        </row>
        <row r="124">
          <cell r="Y124" t="str">
            <v>NO</v>
          </cell>
        </row>
        <row r="125">
          <cell r="Y125" t="str">
            <v>NO</v>
          </cell>
        </row>
        <row r="126">
          <cell r="Y126" t="str">
            <v>Freestanding</v>
          </cell>
        </row>
        <row r="127">
          <cell r="Y127" t="str">
            <v>NO</v>
          </cell>
        </row>
        <row r="128">
          <cell r="Y128">
            <v>573</v>
          </cell>
        </row>
        <row r="130">
          <cell r="Y130">
            <v>37</v>
          </cell>
        </row>
        <row r="131">
          <cell r="Y131" t="str">
            <v>C</v>
          </cell>
        </row>
        <row r="133">
          <cell r="Y133" t="str">
            <v xml:space="preserve"> SN.N.ST.T</v>
          </cell>
        </row>
        <row r="134">
          <cell r="Y134" t="str">
            <v>10℃</v>
          </cell>
        </row>
        <row r="135">
          <cell r="Y135" t="str">
            <v>43℃</v>
          </cell>
        </row>
        <row r="136">
          <cell r="Y136" t="str">
            <v>NO</v>
          </cell>
        </row>
        <row r="137">
          <cell r="Y137" t="str">
            <v>NO</v>
          </cell>
        </row>
        <row r="138">
          <cell r="Y138" t="str">
            <v>NO</v>
          </cell>
        </row>
        <row r="139">
          <cell r="Y139" t="str">
            <v>NO</v>
          </cell>
        </row>
        <row r="140">
          <cell r="Y140" t="str">
            <v>YES</v>
          </cell>
        </row>
        <row r="141">
          <cell r="Y141" t="str">
            <v>384L</v>
          </cell>
        </row>
        <row r="142">
          <cell r="Y142" t="str">
            <v>4℃</v>
          </cell>
        </row>
        <row r="143">
          <cell r="Y143" t="str">
            <v>Automatic defrosting</v>
          </cell>
        </row>
        <row r="144">
          <cell r="Y144" t="str">
            <v>NO</v>
          </cell>
        </row>
        <row r="145">
          <cell r="Y145" t="str">
            <v>NO</v>
          </cell>
        </row>
        <row r="146">
          <cell r="Y146" t="str">
            <v>NO</v>
          </cell>
        </row>
        <row r="147">
          <cell r="Y147" t="str">
            <v>NO</v>
          </cell>
        </row>
        <row r="148">
          <cell r="Y148" t="str">
            <v>No</v>
          </cell>
        </row>
        <row r="149">
          <cell r="Y149" t="str">
            <v>No</v>
          </cell>
        </row>
        <row r="150">
          <cell r="Y150" t="str">
            <v>No</v>
          </cell>
        </row>
        <row r="151">
          <cell r="Y151" t="str">
            <v>No</v>
          </cell>
        </row>
        <row r="152">
          <cell r="Y152" t="str">
            <v>Yes</v>
          </cell>
        </row>
        <row r="153">
          <cell r="Y153" t="str">
            <v>103L</v>
          </cell>
        </row>
        <row r="154">
          <cell r="Y154" t="str">
            <v>-18℃</v>
          </cell>
        </row>
        <row r="155">
          <cell r="Y155" t="str">
            <v>Automatic defrosting</v>
          </cell>
        </row>
        <row r="156">
          <cell r="Y156">
            <v>8</v>
          </cell>
        </row>
        <row r="157">
          <cell r="Y157" t="str">
            <v>NO</v>
          </cell>
        </row>
        <row r="158">
          <cell r="Y158" t="str">
            <v>NO</v>
          </cell>
        </row>
        <row r="159">
          <cell r="Y159" t="str">
            <v>YES</v>
          </cell>
        </row>
        <row r="160">
          <cell r="Y160" t="str">
            <v>LED</v>
          </cell>
        </row>
        <row r="161">
          <cell r="Y161" t="str">
            <v>F</v>
          </cell>
        </row>
        <row r="162">
          <cell r="Y162" t="str">
            <v>6.55</v>
          </cell>
        </row>
        <row r="163">
          <cell r="Y163" t="str">
            <v>3.209</v>
          </cell>
        </row>
        <row r="164">
          <cell r="Y164" t="str">
            <v>0.0</v>
          </cell>
        </row>
        <row r="165">
          <cell r="Y165" t="str">
            <v>0.0</v>
          </cell>
        </row>
        <row r="166">
          <cell r="Y166" t="str">
            <v>0000.00</v>
          </cell>
        </row>
        <row r="167">
          <cell r="Y167" t="str">
            <v>140.0</v>
          </cell>
        </row>
        <row r="168">
          <cell r="Y168" t="str">
            <v>075</v>
          </cell>
        </row>
        <row r="169">
          <cell r="Y169" t="str">
            <v>FR R600a</v>
          </cell>
        </row>
      </sheetData>
      <sheetData sheetId="7">
        <row r="1">
          <cell r="Y1">
            <v>59</v>
          </cell>
        </row>
        <row r="2">
          <cell r="Y2" t="str">
            <v>Height (gross / incl. packaging) mm</v>
          </cell>
        </row>
        <row r="3">
          <cell r="Y3">
            <v>895</v>
          </cell>
        </row>
        <row r="4">
          <cell r="Y4">
            <v>890</v>
          </cell>
        </row>
        <row r="5">
          <cell r="Y5">
            <v>895</v>
          </cell>
        </row>
        <row r="6">
          <cell r="Y6">
            <v>2144</v>
          </cell>
        </row>
        <row r="7">
          <cell r="Y7">
            <v>2144</v>
          </cell>
        </row>
        <row r="8">
          <cell r="Y8">
            <v>2144</v>
          </cell>
        </row>
        <row r="9">
          <cell r="Y9">
            <v>2144</v>
          </cell>
        </row>
        <row r="10">
          <cell r="Y10">
            <v>2159</v>
          </cell>
        </row>
        <row r="11">
          <cell r="Y11">
            <v>2025</v>
          </cell>
        </row>
        <row r="12">
          <cell r="Y12">
            <v>2072</v>
          </cell>
        </row>
        <row r="13">
          <cell r="Y13">
            <v>1972</v>
          </cell>
        </row>
        <row r="14">
          <cell r="Y14">
            <v>2072</v>
          </cell>
        </row>
        <row r="15">
          <cell r="Y15">
            <v>1864</v>
          </cell>
        </row>
        <row r="16">
          <cell r="Y16">
            <v>1864</v>
          </cell>
        </row>
        <row r="17">
          <cell r="Y17">
            <v>1864</v>
          </cell>
        </row>
        <row r="18">
          <cell r="Y18">
            <v>2025</v>
          </cell>
        </row>
        <row r="19">
          <cell r="Y19">
            <v>2010</v>
          </cell>
        </row>
        <row r="20">
          <cell r="Y20">
            <v>1905</v>
          </cell>
        </row>
        <row r="21">
          <cell r="Y21">
            <v>1905</v>
          </cell>
        </row>
        <row r="22">
          <cell r="Y22">
            <v>1882</v>
          </cell>
        </row>
        <row r="23">
          <cell r="Y23">
            <v>1882</v>
          </cell>
        </row>
        <row r="24">
          <cell r="Y24">
            <v>1882</v>
          </cell>
        </row>
        <row r="25">
          <cell r="Y25">
            <v>1888</v>
          </cell>
        </row>
        <row r="26">
          <cell r="Y26">
            <v>1888</v>
          </cell>
        </row>
        <row r="27">
          <cell r="Y27">
            <v>1888</v>
          </cell>
        </row>
        <row r="28">
          <cell r="Y28">
            <v>1888</v>
          </cell>
        </row>
        <row r="29">
          <cell r="Y29">
            <v>1640</v>
          </cell>
        </row>
        <row r="30">
          <cell r="Y30">
            <v>1640</v>
          </cell>
        </row>
        <row r="31">
          <cell r="Y31">
            <v>1880</v>
          </cell>
        </row>
        <row r="32">
          <cell r="Y32">
            <v>2005</v>
          </cell>
        </row>
        <row r="33">
          <cell r="Y33">
            <v>1880</v>
          </cell>
        </row>
        <row r="34">
          <cell r="Y34">
            <v>2005</v>
          </cell>
        </row>
        <row r="35">
          <cell r="Y35">
            <v>1330</v>
          </cell>
        </row>
        <row r="36">
          <cell r="Y36">
            <v>880</v>
          </cell>
        </row>
        <row r="37">
          <cell r="Y37">
            <v>1330</v>
          </cell>
        </row>
        <row r="38">
          <cell r="Y38">
            <v>890</v>
          </cell>
        </row>
        <row r="39">
          <cell r="Y39">
            <v>1320</v>
          </cell>
        </row>
        <row r="40">
          <cell r="Y40">
            <v>2010</v>
          </cell>
        </row>
        <row r="41">
          <cell r="Y41">
            <v>2015</v>
          </cell>
        </row>
        <row r="42">
          <cell r="Y42">
            <v>2025</v>
          </cell>
        </row>
        <row r="43">
          <cell r="Y43">
            <v>895</v>
          </cell>
        </row>
        <row r="45">
          <cell r="Y45">
            <v>2010</v>
          </cell>
        </row>
        <row r="46">
          <cell r="Y46">
            <v>2005</v>
          </cell>
        </row>
        <row r="47">
          <cell r="Y47">
            <v>2005</v>
          </cell>
        </row>
        <row r="48">
          <cell r="Y48">
            <v>2010</v>
          </cell>
        </row>
        <row r="49">
          <cell r="Y49">
            <v>1944</v>
          </cell>
        </row>
        <row r="50">
          <cell r="Y50">
            <v>1944</v>
          </cell>
        </row>
        <row r="51">
          <cell r="Y51">
            <v>2144</v>
          </cell>
        </row>
        <row r="52">
          <cell r="Y52">
            <v>2144</v>
          </cell>
        </row>
        <row r="53">
          <cell r="Y53">
            <v>1944</v>
          </cell>
        </row>
        <row r="54">
          <cell r="Y54">
            <v>2144</v>
          </cell>
        </row>
        <row r="55">
          <cell r="Y55">
            <v>2144</v>
          </cell>
        </row>
        <row r="56">
          <cell r="Y56">
            <v>1944</v>
          </cell>
        </row>
        <row r="57">
          <cell r="Y57">
            <v>1944</v>
          </cell>
        </row>
        <row r="58">
          <cell r="Y58">
            <v>2144</v>
          </cell>
        </row>
        <row r="59">
          <cell r="Y59">
            <v>2144</v>
          </cell>
        </row>
        <row r="60">
          <cell r="Y60">
            <v>1864</v>
          </cell>
        </row>
        <row r="61">
          <cell r="Y61">
            <v>1864</v>
          </cell>
        </row>
        <row r="62">
          <cell r="Y62">
            <v>1935</v>
          </cell>
        </row>
        <row r="63">
          <cell r="Y63">
            <v>1905</v>
          </cell>
        </row>
        <row r="64">
          <cell r="Y64">
            <v>1905</v>
          </cell>
        </row>
        <row r="65">
          <cell r="Y65">
            <v>1905</v>
          </cell>
        </row>
        <row r="66">
          <cell r="Y66">
            <v>2010</v>
          </cell>
        </row>
        <row r="67">
          <cell r="Y67">
            <v>2010</v>
          </cell>
        </row>
        <row r="68">
          <cell r="Y68">
            <v>1882</v>
          </cell>
        </row>
        <row r="69">
          <cell r="Y69">
            <v>1882</v>
          </cell>
        </row>
        <row r="70">
          <cell r="Y70">
            <v>2010</v>
          </cell>
        </row>
        <row r="71">
          <cell r="Y71">
            <v>1640</v>
          </cell>
        </row>
        <row r="72">
          <cell r="Y72">
            <v>1320</v>
          </cell>
        </row>
        <row r="73">
          <cell r="Y73">
            <v>2005</v>
          </cell>
        </row>
        <row r="74">
          <cell r="Y74">
            <v>2005</v>
          </cell>
        </row>
        <row r="77">
          <cell r="Y77">
            <v>1922</v>
          </cell>
        </row>
        <row r="78">
          <cell r="Y78">
            <v>1922</v>
          </cell>
        </row>
        <row r="79">
          <cell r="Y79">
            <v>1922</v>
          </cell>
        </row>
        <row r="80">
          <cell r="Y80">
            <v>1894</v>
          </cell>
        </row>
        <row r="81">
          <cell r="Y81">
            <v>1894</v>
          </cell>
        </row>
        <row r="82">
          <cell r="Y82">
            <v>1894</v>
          </cell>
        </row>
        <row r="83">
          <cell r="Y83">
            <v>1894</v>
          </cell>
        </row>
        <row r="84">
          <cell r="Y84">
            <v>1894</v>
          </cell>
        </row>
        <row r="85">
          <cell r="Y85">
            <v>1882</v>
          </cell>
        </row>
        <row r="109">
          <cell r="Y109">
            <v>885</v>
          </cell>
        </row>
        <row r="111">
          <cell r="Y111">
            <v>885</v>
          </cell>
        </row>
        <row r="117">
          <cell r="Y117">
            <v>1474</v>
          </cell>
        </row>
        <row r="118">
          <cell r="Y118">
            <v>1474</v>
          </cell>
        </row>
        <row r="119">
          <cell r="Y119">
            <v>1474</v>
          </cell>
        </row>
        <row r="120">
          <cell r="Y120">
            <v>1474</v>
          </cell>
        </row>
        <row r="121">
          <cell r="Y121">
            <v>1820</v>
          </cell>
        </row>
        <row r="122">
          <cell r="Y122">
            <v>1820</v>
          </cell>
        </row>
        <row r="123">
          <cell r="Y123">
            <v>1820</v>
          </cell>
        </row>
        <row r="124">
          <cell r="Y124">
            <v>1897</v>
          </cell>
        </row>
        <row r="125">
          <cell r="Y125">
            <v>1897</v>
          </cell>
        </row>
        <row r="126">
          <cell r="Y126">
            <v>1897</v>
          </cell>
        </row>
        <row r="127">
          <cell r="Y127">
            <v>1897</v>
          </cell>
        </row>
        <row r="128">
          <cell r="Y128">
            <v>1850</v>
          </cell>
        </row>
        <row r="129">
          <cell r="Y129">
            <v>2050</v>
          </cell>
        </row>
        <row r="130">
          <cell r="Y130">
            <v>2050</v>
          </cell>
        </row>
      </sheetData>
      <sheetData sheetId="8">
        <row r="2">
          <cell r="D2" t="str">
            <v>ARTICLE
CODE</v>
          </cell>
          <cell r="Y2" t="str">
            <v>Expert Strecke</v>
          </cell>
        </row>
        <row r="3">
          <cell r="D3">
            <v>32901923</v>
          </cell>
          <cell r="Y3">
            <v>445.5</v>
          </cell>
        </row>
        <row r="4">
          <cell r="D4">
            <v>32901998</v>
          </cell>
        </row>
        <row r="5">
          <cell r="D5">
            <v>32901835</v>
          </cell>
          <cell r="Y5">
            <v>390.5</v>
          </cell>
        </row>
        <row r="6">
          <cell r="D6">
            <v>32901822</v>
          </cell>
          <cell r="Y6">
            <v>805</v>
          </cell>
        </row>
        <row r="7">
          <cell r="D7">
            <v>32901911</v>
          </cell>
        </row>
        <row r="8">
          <cell r="D8">
            <v>32901912</v>
          </cell>
        </row>
        <row r="9">
          <cell r="D9">
            <v>32901900</v>
          </cell>
        </row>
        <row r="10">
          <cell r="D10">
            <v>32901914</v>
          </cell>
          <cell r="Y10">
            <v>307.5</v>
          </cell>
        </row>
        <row r="11">
          <cell r="D11">
            <v>32901913</v>
          </cell>
        </row>
        <row r="12">
          <cell r="D12">
            <v>32901901</v>
          </cell>
        </row>
        <row r="13">
          <cell r="D13">
            <v>32901902</v>
          </cell>
        </row>
        <row r="14">
          <cell r="D14">
            <v>32002769</v>
          </cell>
        </row>
        <row r="15">
          <cell r="D15">
            <v>32002677</v>
          </cell>
          <cell r="Y15">
            <v>311.5</v>
          </cell>
        </row>
        <row r="16">
          <cell r="D16">
            <v>32002678</v>
          </cell>
        </row>
        <row r="17">
          <cell r="D17">
            <v>32002680</v>
          </cell>
        </row>
        <row r="18">
          <cell r="D18">
            <v>32002679</v>
          </cell>
        </row>
        <row r="19">
          <cell r="D19">
            <v>32002670</v>
          </cell>
        </row>
        <row r="20">
          <cell r="D20">
            <v>32002671</v>
          </cell>
        </row>
        <row r="21">
          <cell r="D21">
            <v>32002672</v>
          </cell>
        </row>
        <row r="22">
          <cell r="D22">
            <v>32901939</v>
          </cell>
        </row>
        <row r="23">
          <cell r="D23">
            <v>32002663</v>
          </cell>
        </row>
        <row r="24">
          <cell r="D24">
            <v>32901618</v>
          </cell>
        </row>
        <row r="25">
          <cell r="D25">
            <v>32901591</v>
          </cell>
        </row>
        <row r="26">
          <cell r="D26">
            <v>32901647</v>
          </cell>
        </row>
        <row r="27">
          <cell r="D27">
            <v>32901800</v>
          </cell>
        </row>
        <row r="28">
          <cell r="D28">
            <v>32901457</v>
          </cell>
        </row>
        <row r="29">
          <cell r="D29">
            <v>32002573</v>
          </cell>
        </row>
        <row r="30">
          <cell r="D30">
            <v>32002576</v>
          </cell>
        </row>
        <row r="31">
          <cell r="D31">
            <v>32002574</v>
          </cell>
        </row>
        <row r="32">
          <cell r="D32">
            <v>32002639</v>
          </cell>
        </row>
        <row r="33">
          <cell r="Y33" t="str">
            <v>x</v>
          </cell>
        </row>
        <row r="34">
          <cell r="D34">
            <v>34901816</v>
          </cell>
        </row>
        <row r="35">
          <cell r="D35">
            <v>34901657</v>
          </cell>
        </row>
        <row r="36">
          <cell r="D36">
            <v>34901727</v>
          </cell>
        </row>
        <row r="37">
          <cell r="D37">
            <v>34901580</v>
          </cell>
          <cell r="Y37">
            <v>692.5</v>
          </cell>
        </row>
        <row r="38">
          <cell r="D38">
            <v>34901784</v>
          </cell>
        </row>
        <row r="39">
          <cell r="D39">
            <v>34901783</v>
          </cell>
        </row>
        <row r="40">
          <cell r="D40">
            <v>34901772</v>
          </cell>
        </row>
        <row r="41">
          <cell r="D41">
            <v>34901756</v>
          </cell>
        </row>
        <row r="42">
          <cell r="D42">
            <v>34901815</v>
          </cell>
        </row>
        <row r="43">
          <cell r="D43">
            <v>37900612</v>
          </cell>
        </row>
        <row r="44">
          <cell r="D44">
            <v>34901566</v>
          </cell>
        </row>
        <row r="45">
          <cell r="D45">
            <v>34901564</v>
          </cell>
          <cell r="Y45">
            <v>472</v>
          </cell>
        </row>
        <row r="46">
          <cell r="D46">
            <v>34901712</v>
          </cell>
        </row>
        <row r="47">
          <cell r="D47">
            <v>34901714</v>
          </cell>
        </row>
        <row r="48">
          <cell r="D48">
            <v>34901646</v>
          </cell>
          <cell r="Y48">
            <v>629.5</v>
          </cell>
        </row>
        <row r="49">
          <cell r="D49">
            <v>34901808</v>
          </cell>
        </row>
        <row r="50">
          <cell r="D50">
            <v>34901732</v>
          </cell>
        </row>
        <row r="51">
          <cell r="D51">
            <v>34901731</v>
          </cell>
        </row>
        <row r="52">
          <cell r="D52">
            <v>34901707</v>
          </cell>
        </row>
        <row r="53">
          <cell r="D53">
            <v>34901706</v>
          </cell>
        </row>
        <row r="54">
          <cell r="D54">
            <v>37900605</v>
          </cell>
        </row>
        <row r="55">
          <cell r="D55">
            <v>34901572</v>
          </cell>
        </row>
        <row r="56">
          <cell r="D56">
            <v>34901253</v>
          </cell>
        </row>
        <row r="57">
          <cell r="D57">
            <v>34901246</v>
          </cell>
        </row>
        <row r="58">
          <cell r="D58">
            <v>34901636</v>
          </cell>
        </row>
        <row r="59">
          <cell r="D59">
            <v>34901611</v>
          </cell>
        </row>
        <row r="60">
          <cell r="D60">
            <v>34901590</v>
          </cell>
        </row>
        <row r="61">
          <cell r="D61">
            <v>34901601</v>
          </cell>
        </row>
        <row r="62">
          <cell r="D62">
            <v>34901602</v>
          </cell>
        </row>
        <row r="63">
          <cell r="Y63" t="str">
            <v>x</v>
          </cell>
        </row>
        <row r="64">
          <cell r="D64">
            <v>33703946</v>
          </cell>
          <cell r="Y64">
            <v>755.5</v>
          </cell>
        </row>
        <row r="65">
          <cell r="D65">
            <v>33703938</v>
          </cell>
        </row>
        <row r="66">
          <cell r="D66">
            <v>33703941</v>
          </cell>
          <cell r="Y66">
            <v>629.5</v>
          </cell>
        </row>
        <row r="67">
          <cell r="D67">
            <v>33703908</v>
          </cell>
        </row>
        <row r="68">
          <cell r="D68">
            <v>33703811</v>
          </cell>
        </row>
        <row r="69">
          <cell r="D69">
            <v>33703808</v>
          </cell>
        </row>
        <row r="70">
          <cell r="D70">
            <v>33703990</v>
          </cell>
        </row>
        <row r="71">
          <cell r="D71">
            <v>33704273</v>
          </cell>
          <cell r="Y71">
            <v>261.5</v>
          </cell>
        </row>
        <row r="72">
          <cell r="D72">
            <v>33703792</v>
          </cell>
          <cell r="Y72">
            <v>314.5</v>
          </cell>
        </row>
        <row r="73">
          <cell r="D73">
            <v>33704557</v>
          </cell>
        </row>
        <row r="74">
          <cell r="D74">
            <v>33704556</v>
          </cell>
        </row>
        <row r="75">
          <cell r="D75">
            <v>33703874</v>
          </cell>
        </row>
        <row r="76">
          <cell r="D76">
            <v>33703862</v>
          </cell>
        </row>
        <row r="77">
          <cell r="D77">
            <v>33703851</v>
          </cell>
        </row>
        <row r="78">
          <cell r="D78">
            <v>33703956</v>
          </cell>
        </row>
        <row r="79">
          <cell r="D79">
            <v>33704458</v>
          </cell>
        </row>
        <row r="80">
          <cell r="D80">
            <v>33704188</v>
          </cell>
        </row>
        <row r="81">
          <cell r="D81">
            <v>33900632</v>
          </cell>
        </row>
        <row r="82">
          <cell r="D82">
            <v>33900635</v>
          </cell>
        </row>
        <row r="83">
          <cell r="D83">
            <v>33900634</v>
          </cell>
        </row>
        <row r="84">
          <cell r="D84">
            <v>33900652</v>
          </cell>
        </row>
        <row r="85">
          <cell r="Y85" t="str">
            <v>x</v>
          </cell>
        </row>
        <row r="86">
          <cell r="D86">
            <v>38900825</v>
          </cell>
        </row>
        <row r="87">
          <cell r="D87">
            <v>38900827</v>
          </cell>
        </row>
        <row r="88">
          <cell r="D88">
            <v>38900826</v>
          </cell>
        </row>
        <row r="89">
          <cell r="Y89" t="str">
            <v>x</v>
          </cell>
        </row>
        <row r="90">
          <cell r="D90">
            <v>33803037</v>
          </cell>
        </row>
        <row r="91">
          <cell r="D91">
            <v>33803469</v>
          </cell>
        </row>
        <row r="92">
          <cell r="D92">
            <v>33803399</v>
          </cell>
          <cell r="Y92">
            <v>377.5</v>
          </cell>
        </row>
        <row r="93">
          <cell r="D93">
            <v>33803413</v>
          </cell>
        </row>
        <row r="94">
          <cell r="D94">
            <v>33803608</v>
          </cell>
          <cell r="Y94">
            <v>200</v>
          </cell>
        </row>
        <row r="95">
          <cell r="D95">
            <v>33803688</v>
          </cell>
        </row>
        <row r="96">
          <cell r="D96">
            <v>33803689</v>
          </cell>
        </row>
        <row r="97">
          <cell r="D97">
            <v>33803416</v>
          </cell>
        </row>
        <row r="98">
          <cell r="D98">
            <v>33803338</v>
          </cell>
        </row>
        <row r="99">
          <cell r="D99">
            <v>33803265</v>
          </cell>
        </row>
        <row r="100">
          <cell r="D100">
            <v>33803666</v>
          </cell>
        </row>
        <row r="101">
          <cell r="D101">
            <v>33801793</v>
          </cell>
        </row>
        <row r="102">
          <cell r="D102">
            <v>33802915</v>
          </cell>
        </row>
        <row r="103">
          <cell r="D103">
            <v>33802918</v>
          </cell>
        </row>
        <row r="104">
          <cell r="D104">
            <v>33803260</v>
          </cell>
        </row>
        <row r="105">
          <cell r="D105">
            <v>33803263</v>
          </cell>
        </row>
        <row r="106">
          <cell r="D106">
            <v>33803686</v>
          </cell>
        </row>
        <row r="107">
          <cell r="D107">
            <v>33803136</v>
          </cell>
        </row>
        <row r="108">
          <cell r="Y108" t="str">
            <v>x</v>
          </cell>
        </row>
        <row r="109">
          <cell r="D109">
            <v>36901930</v>
          </cell>
        </row>
        <row r="110">
          <cell r="D110">
            <v>36901921</v>
          </cell>
        </row>
        <row r="111">
          <cell r="D111">
            <v>36901774</v>
          </cell>
        </row>
        <row r="112">
          <cell r="D112">
            <v>36901769</v>
          </cell>
        </row>
        <row r="113">
          <cell r="D113">
            <v>36901044</v>
          </cell>
        </row>
        <row r="114">
          <cell r="D114">
            <v>36901776</v>
          </cell>
        </row>
        <row r="115">
          <cell r="D115">
            <v>36901681</v>
          </cell>
        </row>
        <row r="117">
          <cell r="D117">
            <v>31800951</v>
          </cell>
        </row>
        <row r="118">
          <cell r="D118">
            <v>31800949</v>
          </cell>
        </row>
        <row r="119">
          <cell r="D119">
            <v>31801014</v>
          </cell>
        </row>
        <row r="120">
          <cell r="D120">
            <v>31801018</v>
          </cell>
        </row>
        <row r="121">
          <cell r="D121">
            <v>33702981</v>
          </cell>
        </row>
        <row r="122">
          <cell r="D122">
            <v>33703384</v>
          </cell>
        </row>
        <row r="123">
          <cell r="D123">
            <v>33703383</v>
          </cell>
        </row>
        <row r="124">
          <cell r="D124">
            <v>33803406</v>
          </cell>
        </row>
        <row r="125">
          <cell r="D125">
            <v>33803082</v>
          </cell>
        </row>
        <row r="126">
          <cell r="D126">
            <v>33803111</v>
          </cell>
        </row>
        <row r="127">
          <cell r="D127">
            <v>33802774</v>
          </cell>
        </row>
        <row r="128">
          <cell r="D128">
            <v>33803015</v>
          </cell>
        </row>
        <row r="129">
          <cell r="D129">
            <v>32901793</v>
          </cell>
        </row>
        <row r="130">
          <cell r="D130">
            <v>32901794</v>
          </cell>
        </row>
        <row r="131">
          <cell r="D131">
            <v>32901750</v>
          </cell>
        </row>
        <row r="132">
          <cell r="D132">
            <v>32901570</v>
          </cell>
        </row>
        <row r="133">
          <cell r="D133">
            <v>32901795</v>
          </cell>
        </row>
        <row r="134">
          <cell r="D134">
            <v>34901398</v>
          </cell>
        </row>
        <row r="135">
          <cell r="D135">
            <v>34901396</v>
          </cell>
        </row>
        <row r="136">
          <cell r="D136">
            <v>34901708</v>
          </cell>
          <cell r="Y136">
            <v>1071</v>
          </cell>
        </row>
        <row r="137">
          <cell r="D137">
            <v>34901709</v>
          </cell>
          <cell r="Y137">
            <v>1890</v>
          </cell>
        </row>
        <row r="138">
          <cell r="D138">
            <v>34901569</v>
          </cell>
        </row>
        <row r="139">
          <cell r="D139">
            <v>38900737</v>
          </cell>
        </row>
        <row r="140">
          <cell r="D140">
            <v>38900763</v>
          </cell>
        </row>
        <row r="141">
          <cell r="D141">
            <v>38900021</v>
          </cell>
        </row>
        <row r="142">
          <cell r="D142">
            <v>36901711</v>
          </cell>
        </row>
        <row r="143">
          <cell r="D143">
            <v>36901780</v>
          </cell>
        </row>
        <row r="144">
          <cell r="D144">
            <v>36901781</v>
          </cell>
        </row>
      </sheetData>
      <sheetData sheetId="9">
        <row r="4">
          <cell r="Y4" t="str">
            <v>Comment</v>
          </cell>
        </row>
        <row r="23">
          <cell r="Y23" t="str">
            <v>Horizon</v>
          </cell>
        </row>
        <row r="32">
          <cell r="Y32" t="str">
            <v>Horizon</v>
          </cell>
        </row>
        <row r="33">
          <cell r="Y33" t="str">
            <v>Horizon</v>
          </cell>
        </row>
        <row r="34">
          <cell r="Y34" t="str">
            <v>Horizon</v>
          </cell>
        </row>
        <row r="93">
          <cell r="Y93" t="str">
            <v>Horizon</v>
          </cell>
        </row>
      </sheetData>
      <sheetData sheetId="10">
        <row r="2">
          <cell r="Y2" t="str">
            <v>Expert</v>
          </cell>
        </row>
        <row r="3">
          <cell r="Y3">
            <v>725.45</v>
          </cell>
        </row>
        <row r="5">
          <cell r="Y5">
            <v>612</v>
          </cell>
        </row>
        <row r="35">
          <cell r="Y35" t="str">
            <v>Angebot:
629</v>
          </cell>
        </row>
      </sheetData>
      <sheetData sheetId="11"/>
      <sheetData sheetId="12">
        <row r="3">
          <cell r="Y3" t="str">
            <v>GROSS WEIGHT (in kg)</v>
          </cell>
        </row>
        <row r="4">
          <cell r="Y4">
            <v>3.38</v>
          </cell>
        </row>
        <row r="5">
          <cell r="Y5">
            <v>3.37</v>
          </cell>
        </row>
        <row r="6">
          <cell r="Y6">
            <v>0.9</v>
          </cell>
        </row>
        <row r="7">
          <cell r="Y7">
            <v>0.13500000000000001</v>
          </cell>
        </row>
        <row r="8">
          <cell r="Y8">
            <v>0.14000000000000001</v>
          </cell>
        </row>
        <row r="9">
          <cell r="Y9">
            <v>0.81</v>
          </cell>
        </row>
        <row r="10">
          <cell r="Y10">
            <v>0.64100000000000001</v>
          </cell>
        </row>
        <row r="11">
          <cell r="Y11">
            <v>0.17299999999999999</v>
          </cell>
        </row>
        <row r="12">
          <cell r="Y12">
            <v>0.54500000000000004</v>
          </cell>
        </row>
        <row r="13">
          <cell r="Y13">
            <v>0.42</v>
          </cell>
        </row>
        <row r="14">
          <cell r="Y14">
            <v>0.115</v>
          </cell>
        </row>
        <row r="15">
          <cell r="Y15">
            <v>0.9</v>
          </cell>
        </row>
        <row r="16">
          <cell r="Y16">
            <v>0.33</v>
          </cell>
        </row>
        <row r="17">
          <cell r="Y17">
            <v>0.63</v>
          </cell>
        </row>
        <row r="19">
          <cell r="Y19">
            <v>0</v>
          </cell>
        </row>
        <row r="20">
          <cell r="Y20">
            <v>1.7</v>
          </cell>
        </row>
        <row r="21">
          <cell r="Y21">
            <v>0.13</v>
          </cell>
        </row>
        <row r="22">
          <cell r="Y22">
            <v>0.53</v>
          </cell>
        </row>
        <row r="23">
          <cell r="Y23">
            <v>0.53</v>
          </cell>
        </row>
        <row r="24">
          <cell r="Y24">
            <v>0.52</v>
          </cell>
        </row>
        <row r="25">
          <cell r="Y25">
            <v>0.52</v>
          </cell>
        </row>
        <row r="26">
          <cell r="Y26">
            <v>0.52</v>
          </cell>
        </row>
        <row r="27">
          <cell r="Y27">
            <v>0.52</v>
          </cell>
        </row>
        <row r="28">
          <cell r="Y28">
            <v>0.52</v>
          </cell>
        </row>
        <row r="29">
          <cell r="Y29">
            <v>0.52</v>
          </cell>
        </row>
        <row r="30">
          <cell r="Y30">
            <v>1.4</v>
          </cell>
        </row>
        <row r="31">
          <cell r="Y31">
            <v>0.75</v>
          </cell>
        </row>
        <row r="32">
          <cell r="Y32">
            <v>0.32</v>
          </cell>
        </row>
        <row r="33">
          <cell r="Y33">
            <v>1.4</v>
          </cell>
        </row>
        <row r="34">
          <cell r="Y34">
            <v>0.13500000000000001</v>
          </cell>
        </row>
        <row r="35">
          <cell r="Y35">
            <v>0.48</v>
          </cell>
        </row>
        <row r="36">
          <cell r="Y36">
            <v>0</v>
          </cell>
        </row>
        <row r="37">
          <cell r="Y37">
            <v>0.48</v>
          </cell>
        </row>
        <row r="38">
          <cell r="Y38">
            <v>0.35</v>
          </cell>
        </row>
        <row r="39">
          <cell r="Y39">
            <v>0.68</v>
          </cell>
        </row>
        <row r="40">
          <cell r="Y40">
            <v>3.43</v>
          </cell>
        </row>
        <row r="41">
          <cell r="Y41">
            <v>1.1950000000000001</v>
          </cell>
        </row>
        <row r="42">
          <cell r="Y42">
            <v>1.2969999999999999</v>
          </cell>
        </row>
        <row r="43">
          <cell r="Y43">
            <v>0.25</v>
          </cell>
        </row>
        <row r="44">
          <cell r="Y44">
            <v>0.18</v>
          </cell>
        </row>
        <row r="45">
          <cell r="Y45">
            <v>0.31</v>
          </cell>
        </row>
        <row r="46">
          <cell r="Y46">
            <v>0.86</v>
          </cell>
        </row>
        <row r="47">
          <cell r="Y47">
            <v>0.53</v>
          </cell>
        </row>
        <row r="48">
          <cell r="Y48">
            <v>8.9999999999999993E-3</v>
          </cell>
        </row>
        <row r="49">
          <cell r="Y49">
            <v>1.6</v>
          </cell>
        </row>
        <row r="50">
          <cell r="Y50">
            <v>0.81</v>
          </cell>
        </row>
        <row r="51">
          <cell r="Y51">
            <v>0.83</v>
          </cell>
        </row>
        <row r="52">
          <cell r="Y52">
            <v>0.4</v>
          </cell>
        </row>
        <row r="53">
          <cell r="Y53">
            <v>0</v>
          </cell>
        </row>
        <row r="55">
          <cell r="Y55">
            <v>0.2</v>
          </cell>
        </row>
        <row r="56">
          <cell r="Y56">
            <v>0.34</v>
          </cell>
        </row>
        <row r="57">
          <cell r="Y57">
            <v>0.15</v>
          </cell>
        </row>
        <row r="58">
          <cell r="Y58">
            <v>0.03</v>
          </cell>
        </row>
        <row r="59">
          <cell r="Y59">
            <v>0.155</v>
          </cell>
        </row>
        <row r="60">
          <cell r="Y60">
            <v>3.39</v>
          </cell>
        </row>
        <row r="61">
          <cell r="Y61">
            <v>0.33</v>
          </cell>
        </row>
        <row r="62">
          <cell r="Y62">
            <v>0.46</v>
          </cell>
        </row>
        <row r="63">
          <cell r="Y63">
            <v>0.35</v>
          </cell>
        </row>
        <row r="64">
          <cell r="Y64">
            <v>0.05</v>
          </cell>
        </row>
        <row r="65">
          <cell r="Y65">
            <v>0.2</v>
          </cell>
        </row>
        <row r="66">
          <cell r="Y66">
            <v>0.45</v>
          </cell>
        </row>
        <row r="67">
          <cell r="Y67">
            <v>0.13500000000000001</v>
          </cell>
        </row>
        <row r="68">
          <cell r="Y68">
            <v>0.13500000000000001</v>
          </cell>
        </row>
        <row r="69">
          <cell r="Y69">
            <v>0.13500000000000001</v>
          </cell>
        </row>
        <row r="70">
          <cell r="Y70">
            <v>0.13500000000000001</v>
          </cell>
        </row>
        <row r="71">
          <cell r="Y71">
            <v>0.48</v>
          </cell>
        </row>
        <row r="72">
          <cell r="Y72">
            <v>0.48</v>
          </cell>
        </row>
        <row r="73">
          <cell r="Y73">
            <v>0.48</v>
          </cell>
        </row>
        <row r="74">
          <cell r="Y74">
            <v>0.875</v>
          </cell>
        </row>
        <row r="75">
          <cell r="Y75">
            <v>0.75</v>
          </cell>
        </row>
        <row r="76">
          <cell r="Y76">
            <v>0.1</v>
          </cell>
        </row>
        <row r="77">
          <cell r="Y77">
            <v>0.1</v>
          </cell>
        </row>
        <row r="78">
          <cell r="Y78">
            <v>0.18</v>
          </cell>
        </row>
        <row r="79">
          <cell r="Y79">
            <v>0.95</v>
          </cell>
        </row>
        <row r="80">
          <cell r="Y80">
            <v>0.76</v>
          </cell>
        </row>
        <row r="81">
          <cell r="Y81">
            <v>0.11</v>
          </cell>
        </row>
        <row r="82">
          <cell r="Y82">
            <v>0.31</v>
          </cell>
        </row>
        <row r="83">
          <cell r="Y83">
            <v>0.11799999999999999</v>
          </cell>
        </row>
        <row r="84">
          <cell r="Y84">
            <v>0.6</v>
          </cell>
        </row>
        <row r="85">
          <cell r="Y85">
            <v>0.6</v>
          </cell>
        </row>
        <row r="86">
          <cell r="Y86">
            <v>8.9999999999999993E-3</v>
          </cell>
        </row>
        <row r="87">
          <cell r="Y87">
            <v>0.57999999999999996</v>
          </cell>
        </row>
        <row r="88">
          <cell r="Y88">
            <v>0.96</v>
          </cell>
        </row>
        <row r="89">
          <cell r="Y89">
            <v>0.59</v>
          </cell>
        </row>
        <row r="90">
          <cell r="Y90">
            <v>0.55000000000000004</v>
          </cell>
        </row>
        <row r="91">
          <cell r="Y91">
            <v>0.59</v>
          </cell>
        </row>
        <row r="92">
          <cell r="Y92">
            <v>0.57999999999999996</v>
          </cell>
        </row>
        <row r="93">
          <cell r="Y93">
            <v>0.64</v>
          </cell>
        </row>
        <row r="94">
          <cell r="Y94">
            <v>0.6</v>
          </cell>
        </row>
        <row r="95">
          <cell r="Y95">
            <v>0</v>
          </cell>
        </row>
        <row r="96">
          <cell r="Y96">
            <v>0</v>
          </cell>
        </row>
        <row r="97">
          <cell r="Y97">
            <v>0.33</v>
          </cell>
        </row>
        <row r="98">
          <cell r="Y98">
            <v>0.33</v>
          </cell>
        </row>
        <row r="99">
          <cell r="Y99">
            <v>0.35</v>
          </cell>
        </row>
        <row r="100">
          <cell r="Y100">
            <v>0.5</v>
          </cell>
        </row>
        <row r="101">
          <cell r="Y101">
            <v>0.4</v>
          </cell>
        </row>
        <row r="102">
          <cell r="Y102">
            <v>0.48</v>
          </cell>
        </row>
        <row r="103">
          <cell r="Y103">
            <v>0.56000000000000005</v>
          </cell>
        </row>
        <row r="104">
          <cell r="Y104">
            <v>0.45</v>
          </cell>
        </row>
        <row r="105">
          <cell r="Y105">
            <v>0.41</v>
          </cell>
        </row>
        <row r="106">
          <cell r="Y106">
            <v>0.47</v>
          </cell>
        </row>
        <row r="107">
          <cell r="Y107">
            <v>0.54</v>
          </cell>
        </row>
        <row r="108">
          <cell r="Y108">
            <v>0.63</v>
          </cell>
        </row>
        <row r="109">
          <cell r="Y109">
            <v>0.68</v>
          </cell>
        </row>
        <row r="110">
          <cell r="Y110">
            <v>1.45</v>
          </cell>
        </row>
        <row r="111">
          <cell r="Y111">
            <v>1.26</v>
          </cell>
        </row>
        <row r="112">
          <cell r="Y112">
            <v>0.31</v>
          </cell>
        </row>
        <row r="113">
          <cell r="Y113">
            <v>0.55000000000000004</v>
          </cell>
        </row>
        <row r="114">
          <cell r="Y114">
            <v>0.71</v>
          </cell>
        </row>
        <row r="115">
          <cell r="Y115">
            <v>0.05</v>
          </cell>
        </row>
        <row r="116">
          <cell r="Y116">
            <v>0.57999999999999996</v>
          </cell>
        </row>
        <row r="117">
          <cell r="Y117">
            <v>0.56999999999999995</v>
          </cell>
        </row>
        <row r="118">
          <cell r="Y118">
            <v>0.1</v>
          </cell>
        </row>
        <row r="119">
          <cell r="Y119">
            <v>0.59</v>
          </cell>
        </row>
        <row r="120">
          <cell r="Y120">
            <v>0</v>
          </cell>
        </row>
        <row r="121">
          <cell r="Y121">
            <v>9.5000000000000001E-2</v>
          </cell>
        </row>
        <row r="122">
          <cell r="Y122">
            <v>0.495</v>
          </cell>
        </row>
        <row r="123">
          <cell r="Y123">
            <v>0.16500000000000001</v>
          </cell>
        </row>
        <row r="124">
          <cell r="Y124">
            <v>5.9</v>
          </cell>
        </row>
        <row r="125">
          <cell r="Y125">
            <v>0.61499999999999999</v>
          </cell>
        </row>
        <row r="126">
          <cell r="Y126">
            <v>0</v>
          </cell>
        </row>
        <row r="127">
          <cell r="Y127">
            <v>0</v>
          </cell>
        </row>
        <row r="128">
          <cell r="Y128">
            <v>0.25</v>
          </cell>
        </row>
        <row r="129">
          <cell r="Y129">
            <v>0</v>
          </cell>
        </row>
        <row r="130">
          <cell r="Y130">
            <v>0</v>
          </cell>
        </row>
        <row r="131">
          <cell r="Y131">
            <v>0.27</v>
          </cell>
        </row>
        <row r="132">
          <cell r="Y132">
            <v>0</v>
          </cell>
        </row>
        <row r="133">
          <cell r="Y133">
            <v>0</v>
          </cell>
        </row>
        <row r="134">
          <cell r="Y134" t="str">
            <v>   0,598</v>
          </cell>
        </row>
        <row r="135">
          <cell r="Y135">
            <v>0.33</v>
          </cell>
        </row>
      </sheetData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0034-242D-49C0-BE89-40E84D61E957}">
  <dimension ref="A1:U78"/>
  <sheetViews>
    <sheetView tabSelected="1" zoomScale="105" zoomScaleNormal="100" workbookViewId="0">
      <selection activeCell="D66" sqref="D66"/>
    </sheetView>
  </sheetViews>
  <sheetFormatPr defaultColWidth="11.42578125" defaultRowHeight="15" x14ac:dyDescent="0.25"/>
  <cols>
    <col min="1" max="4" width="26.85546875" style="7" customWidth="1"/>
    <col min="5" max="5" width="30.140625" style="7" customWidth="1"/>
    <col min="6" max="6" width="30.140625" style="20" customWidth="1"/>
    <col min="7" max="7" width="30.140625" style="17" customWidth="1"/>
    <col min="8" max="8" width="30.140625" style="7" customWidth="1"/>
    <col min="9" max="9" width="26.85546875" style="13" customWidth="1"/>
    <col min="10" max="22" width="11.140625" customWidth="1"/>
  </cols>
  <sheetData>
    <row r="1" spans="1:21" ht="66.599999999999994" customHeight="1" x14ac:dyDescent="0.25">
      <c r="A1" s="5" t="s">
        <v>74</v>
      </c>
      <c r="B1" s="5" t="s">
        <v>73</v>
      </c>
      <c r="C1" s="5" t="s">
        <v>89</v>
      </c>
      <c r="D1" s="6" t="s">
        <v>0</v>
      </c>
      <c r="E1" s="6" t="s">
        <v>75</v>
      </c>
      <c r="F1" s="18" t="s">
        <v>99</v>
      </c>
      <c r="G1" s="15"/>
      <c r="H1" s="6" t="s">
        <v>97</v>
      </c>
      <c r="I1" s="14" t="s">
        <v>72</v>
      </c>
      <c r="N1" s="1"/>
    </row>
    <row r="2" spans="1:21" x14ac:dyDescent="0.25">
      <c r="A2" s="7" t="s">
        <v>1</v>
      </c>
      <c r="B2" s="7" t="s">
        <v>81</v>
      </c>
      <c r="C2" s="7" t="s">
        <v>94</v>
      </c>
      <c r="D2" s="8">
        <v>37001614</v>
      </c>
      <c r="E2" s="8" t="s">
        <v>2</v>
      </c>
      <c r="F2" s="19">
        <v>240</v>
      </c>
      <c r="G2" s="16">
        <f>ROUND(F2,2)</f>
        <v>240</v>
      </c>
      <c r="H2" s="8">
        <v>24</v>
      </c>
      <c r="I2" s="9">
        <v>1</v>
      </c>
      <c r="J2" s="1"/>
      <c r="K2" s="1"/>
      <c r="M2" s="1"/>
    </row>
    <row r="3" spans="1:21" x14ac:dyDescent="0.25">
      <c r="A3" s="7" t="s">
        <v>1</v>
      </c>
      <c r="B3" s="7" t="s">
        <v>81</v>
      </c>
      <c r="C3" s="7" t="s">
        <v>94</v>
      </c>
      <c r="D3" s="8">
        <v>37001627</v>
      </c>
      <c r="E3" s="8" t="s">
        <v>5</v>
      </c>
      <c r="F3" s="19">
        <v>440</v>
      </c>
      <c r="G3" s="16">
        <f>ROUND(F3,2)</f>
        <v>440</v>
      </c>
      <c r="H3" s="8">
        <v>24</v>
      </c>
      <c r="I3" s="9">
        <v>1</v>
      </c>
      <c r="J3" s="1"/>
      <c r="M3" s="1"/>
    </row>
    <row r="4" spans="1:21" x14ac:dyDescent="0.25">
      <c r="A4" s="7" t="s">
        <v>1</v>
      </c>
      <c r="B4" s="7" t="s">
        <v>81</v>
      </c>
      <c r="C4" s="7" t="s">
        <v>95</v>
      </c>
      <c r="D4" s="8">
        <v>34005713</v>
      </c>
      <c r="E4" s="8" t="s">
        <v>8</v>
      </c>
      <c r="F4" s="19">
        <v>841</v>
      </c>
      <c r="G4" s="16">
        <f>ROUND(F4,2)</f>
        <v>841</v>
      </c>
      <c r="H4" s="8">
        <v>12</v>
      </c>
      <c r="I4" s="9">
        <v>2</v>
      </c>
      <c r="J4" s="1"/>
      <c r="M4" s="1"/>
    </row>
    <row r="5" spans="1:21" x14ac:dyDescent="0.25">
      <c r="A5" s="7" t="s">
        <v>1</v>
      </c>
      <c r="B5" s="7" t="s">
        <v>81</v>
      </c>
      <c r="C5" s="7" t="s">
        <v>95</v>
      </c>
      <c r="D5" s="8">
        <v>34005731</v>
      </c>
      <c r="E5" s="8" t="s">
        <v>12</v>
      </c>
      <c r="F5" s="19">
        <v>850</v>
      </c>
      <c r="G5" s="16">
        <f>ROUND(F5,2)</f>
        <v>850</v>
      </c>
      <c r="H5" s="8">
        <v>12</v>
      </c>
      <c r="I5" s="9">
        <v>2</v>
      </c>
      <c r="J5" s="1"/>
      <c r="M5" s="1"/>
    </row>
    <row r="6" spans="1:21" x14ac:dyDescent="0.25">
      <c r="A6" s="7" t="s">
        <v>1</v>
      </c>
      <c r="B6" s="7" t="s">
        <v>81</v>
      </c>
      <c r="C6" s="7" t="s">
        <v>94</v>
      </c>
      <c r="D6" s="8">
        <v>34005843</v>
      </c>
      <c r="E6" s="8" t="s">
        <v>13</v>
      </c>
      <c r="F6" s="19">
        <v>470</v>
      </c>
      <c r="G6" s="16">
        <f>ROUND(F6,2)</f>
        <v>470</v>
      </c>
      <c r="H6" s="8">
        <v>24</v>
      </c>
      <c r="I6" s="9">
        <v>1</v>
      </c>
      <c r="J6" s="1"/>
      <c r="M6" s="1"/>
    </row>
    <row r="7" spans="1:21" x14ac:dyDescent="0.25">
      <c r="A7" s="7" t="s">
        <v>1</v>
      </c>
      <c r="B7" s="7" t="s">
        <v>81</v>
      </c>
      <c r="C7" s="7" t="s">
        <v>94</v>
      </c>
      <c r="D7" s="8">
        <v>34005705</v>
      </c>
      <c r="E7" s="8" t="s">
        <v>14</v>
      </c>
      <c r="F7" s="19">
        <v>1150</v>
      </c>
      <c r="G7" s="16">
        <f>ROUND(F7,2)</f>
        <v>1150</v>
      </c>
      <c r="H7" s="8">
        <v>24</v>
      </c>
      <c r="I7" s="9">
        <v>1</v>
      </c>
      <c r="J7" s="1"/>
      <c r="M7" s="1"/>
    </row>
    <row r="8" spans="1:21" x14ac:dyDescent="0.25">
      <c r="A8" s="7" t="s">
        <v>1</v>
      </c>
      <c r="B8" s="7" t="s">
        <v>81</v>
      </c>
      <c r="C8" s="7" t="s">
        <v>94</v>
      </c>
      <c r="D8" s="8">
        <v>34005708</v>
      </c>
      <c r="E8" s="8" t="s">
        <v>15</v>
      </c>
      <c r="F8" s="19">
        <v>1050</v>
      </c>
      <c r="G8" s="16">
        <f>ROUND(F8,2)</f>
        <v>1050</v>
      </c>
      <c r="H8" s="8">
        <v>24</v>
      </c>
      <c r="I8" s="9">
        <v>1</v>
      </c>
      <c r="J8" s="1"/>
      <c r="M8" s="1"/>
    </row>
    <row r="9" spans="1:21" ht="14.25" customHeight="1" x14ac:dyDescent="0.25">
      <c r="A9" s="7" t="s">
        <v>1</v>
      </c>
      <c r="B9" s="7" t="s">
        <v>81</v>
      </c>
      <c r="C9" s="7" t="s">
        <v>95</v>
      </c>
      <c r="D9" s="8">
        <v>37001606</v>
      </c>
      <c r="E9" s="8" t="s">
        <v>16</v>
      </c>
      <c r="F9" s="19">
        <v>350</v>
      </c>
      <c r="G9" s="16">
        <f>ROUND(F9,2)</f>
        <v>350</v>
      </c>
      <c r="H9" s="8">
        <v>12</v>
      </c>
      <c r="I9" s="9">
        <v>2</v>
      </c>
      <c r="J9" s="1"/>
      <c r="M9" s="1"/>
      <c r="P9" s="2"/>
      <c r="Q9" s="2"/>
      <c r="R9" s="4"/>
      <c r="S9" s="2"/>
      <c r="T9" s="2"/>
      <c r="U9" s="4"/>
    </row>
    <row r="10" spans="1:21" x14ac:dyDescent="0.25">
      <c r="A10" s="7" t="s">
        <v>1</v>
      </c>
      <c r="B10" s="7" t="s">
        <v>81</v>
      </c>
      <c r="C10" s="7" t="s">
        <v>95</v>
      </c>
      <c r="D10" s="8">
        <v>37001607</v>
      </c>
      <c r="E10" s="8" t="s">
        <v>17</v>
      </c>
      <c r="F10" s="19">
        <v>400</v>
      </c>
      <c r="G10" s="16">
        <f>ROUND(F10,2)</f>
        <v>400</v>
      </c>
      <c r="H10" s="8">
        <v>12</v>
      </c>
      <c r="I10" s="9">
        <v>2</v>
      </c>
      <c r="J10" s="1"/>
      <c r="M10" s="1"/>
    </row>
    <row r="11" spans="1:21" x14ac:dyDescent="0.25">
      <c r="A11" s="7" t="s">
        <v>1</v>
      </c>
      <c r="B11" s="7" t="s">
        <v>81</v>
      </c>
      <c r="C11" s="7" t="s">
        <v>95</v>
      </c>
      <c r="D11" s="8">
        <v>37001609</v>
      </c>
      <c r="E11" s="8" t="s">
        <v>18</v>
      </c>
      <c r="F11" s="19">
        <v>470</v>
      </c>
      <c r="G11" s="16">
        <f>ROUND(F11,2)</f>
        <v>470</v>
      </c>
      <c r="H11" s="8">
        <v>12</v>
      </c>
      <c r="I11" s="9">
        <v>2</v>
      </c>
      <c r="J11" s="1"/>
      <c r="M11" s="1"/>
    </row>
    <row r="12" spans="1:21" x14ac:dyDescent="0.25">
      <c r="A12" s="7" t="s">
        <v>1</v>
      </c>
      <c r="B12" s="7" t="s">
        <v>81</v>
      </c>
      <c r="C12" s="7" t="s">
        <v>95</v>
      </c>
      <c r="D12" s="8">
        <v>37001610</v>
      </c>
      <c r="E12" s="8" t="s">
        <v>19</v>
      </c>
      <c r="F12" s="19">
        <v>580</v>
      </c>
      <c r="G12" s="16">
        <f>ROUND(F12,2)</f>
        <v>580</v>
      </c>
      <c r="H12" s="8">
        <v>12</v>
      </c>
      <c r="I12" s="9">
        <v>2</v>
      </c>
      <c r="J12" s="1"/>
      <c r="M12" s="1"/>
      <c r="P12" s="3"/>
      <c r="Q12" s="3"/>
    </row>
    <row r="13" spans="1:21" x14ac:dyDescent="0.25">
      <c r="A13" s="7" t="s">
        <v>1</v>
      </c>
      <c r="B13" s="7" t="s">
        <v>81</v>
      </c>
      <c r="C13" s="7" t="s">
        <v>95</v>
      </c>
      <c r="D13" s="8">
        <v>34004290</v>
      </c>
      <c r="E13" s="8" t="s">
        <v>20</v>
      </c>
      <c r="F13" s="19">
        <v>565</v>
      </c>
      <c r="G13" s="16">
        <f>ROUND(F13,2)</f>
        <v>565</v>
      </c>
      <c r="H13" s="8">
        <v>12</v>
      </c>
      <c r="I13" s="9">
        <v>2</v>
      </c>
      <c r="J13" s="1"/>
      <c r="M13" s="1"/>
    </row>
    <row r="14" spans="1:21" x14ac:dyDescent="0.25">
      <c r="A14" s="7" t="s">
        <v>1</v>
      </c>
      <c r="B14" s="7" t="s">
        <v>81</v>
      </c>
      <c r="C14" s="7" t="s">
        <v>95</v>
      </c>
      <c r="D14" s="8">
        <v>34005568</v>
      </c>
      <c r="E14" s="8" t="s">
        <v>21</v>
      </c>
      <c r="F14" s="19">
        <v>360</v>
      </c>
      <c r="G14" s="16">
        <f>ROUND(F14,2)</f>
        <v>360</v>
      </c>
      <c r="H14" s="8">
        <v>12</v>
      </c>
      <c r="I14" s="9">
        <v>2</v>
      </c>
      <c r="J14" s="1"/>
      <c r="M14" s="1"/>
    </row>
    <row r="15" spans="1:21" x14ac:dyDescent="0.25">
      <c r="A15" s="7" t="s">
        <v>1</v>
      </c>
      <c r="B15" s="7" t="s">
        <v>81</v>
      </c>
      <c r="C15" s="7" t="s">
        <v>94</v>
      </c>
      <c r="D15" s="8">
        <v>37001737</v>
      </c>
      <c r="E15" s="8" t="s">
        <v>22</v>
      </c>
      <c r="F15" s="19">
        <v>350</v>
      </c>
      <c r="G15" s="16">
        <f>ROUND(F15,2)</f>
        <v>350</v>
      </c>
      <c r="H15" s="8">
        <v>24</v>
      </c>
      <c r="I15" s="9">
        <v>1</v>
      </c>
      <c r="J15" s="1"/>
      <c r="M15" s="1"/>
    </row>
    <row r="16" spans="1:21" x14ac:dyDescent="0.25">
      <c r="A16" s="7" t="s">
        <v>1</v>
      </c>
      <c r="B16" s="7" t="s">
        <v>81</v>
      </c>
      <c r="C16" s="7" t="s">
        <v>94</v>
      </c>
      <c r="D16" s="8">
        <v>34005943</v>
      </c>
      <c r="E16" s="8" t="s">
        <v>23</v>
      </c>
      <c r="F16" s="19">
        <v>1070</v>
      </c>
      <c r="G16" s="16">
        <f>ROUND(F16,2)</f>
        <v>1070</v>
      </c>
      <c r="H16" s="8">
        <v>24</v>
      </c>
      <c r="I16" s="9">
        <v>1</v>
      </c>
      <c r="J16" s="1"/>
      <c r="M16" s="1"/>
    </row>
    <row r="17" spans="1:13" x14ac:dyDescent="0.25">
      <c r="A17" s="7" t="s">
        <v>1</v>
      </c>
      <c r="B17" s="7" t="s">
        <v>81</v>
      </c>
      <c r="C17" s="7" t="s">
        <v>95</v>
      </c>
      <c r="D17" s="8">
        <v>37001683</v>
      </c>
      <c r="E17" s="8" t="s">
        <v>24</v>
      </c>
      <c r="F17" s="19">
        <v>830</v>
      </c>
      <c r="G17" s="16">
        <f>ROUND(F17,2)</f>
        <v>830</v>
      </c>
      <c r="H17" s="8">
        <v>12</v>
      </c>
      <c r="I17" s="9">
        <v>2</v>
      </c>
      <c r="J17" s="1"/>
      <c r="M17" s="1"/>
    </row>
    <row r="18" spans="1:13" x14ac:dyDescent="0.25">
      <c r="A18" s="7" t="s">
        <v>1</v>
      </c>
      <c r="B18" s="7" t="s">
        <v>81</v>
      </c>
      <c r="C18" s="7" t="s">
        <v>95</v>
      </c>
      <c r="D18" s="8">
        <v>34005861</v>
      </c>
      <c r="E18" s="8" t="s">
        <v>25</v>
      </c>
      <c r="F18" s="19">
        <v>610</v>
      </c>
      <c r="G18" s="16">
        <f>ROUND(F18,2)</f>
        <v>610</v>
      </c>
      <c r="H18" s="8">
        <v>12</v>
      </c>
      <c r="I18" s="9">
        <v>2</v>
      </c>
      <c r="J18" s="1"/>
      <c r="M18" s="1"/>
    </row>
    <row r="19" spans="1:13" x14ac:dyDescent="0.25">
      <c r="A19" s="7" t="s">
        <v>1</v>
      </c>
      <c r="B19" s="7" t="s">
        <v>81</v>
      </c>
      <c r="C19" s="7" t="s">
        <v>94</v>
      </c>
      <c r="D19" s="8">
        <v>34005971</v>
      </c>
      <c r="E19" s="8" t="s">
        <v>26</v>
      </c>
      <c r="F19" s="19">
        <v>1300</v>
      </c>
      <c r="G19" s="16">
        <f>ROUND(F19,2)</f>
        <v>1300</v>
      </c>
      <c r="H19" s="8">
        <v>24</v>
      </c>
      <c r="I19" s="9">
        <v>1</v>
      </c>
      <c r="J19" s="1"/>
      <c r="M19" s="1"/>
    </row>
    <row r="20" spans="1:13" x14ac:dyDescent="0.25">
      <c r="A20" s="7" t="s">
        <v>1</v>
      </c>
      <c r="B20" s="7" t="s">
        <v>81</v>
      </c>
      <c r="C20" s="7" t="s">
        <v>95</v>
      </c>
      <c r="D20" s="8">
        <v>34006051</v>
      </c>
      <c r="E20" s="8" t="s">
        <v>27</v>
      </c>
      <c r="F20" s="19">
        <v>670</v>
      </c>
      <c r="G20" s="16">
        <f>ROUND(F20,2)</f>
        <v>670</v>
      </c>
      <c r="H20" s="8">
        <v>12</v>
      </c>
      <c r="I20" s="9">
        <v>2</v>
      </c>
      <c r="J20" s="1"/>
      <c r="M20" s="1"/>
    </row>
    <row r="21" spans="1:13" x14ac:dyDescent="0.25">
      <c r="A21" s="7" t="s">
        <v>1</v>
      </c>
      <c r="B21" s="7" t="s">
        <v>81</v>
      </c>
      <c r="C21" s="7" t="s">
        <v>95</v>
      </c>
      <c r="D21" s="8">
        <v>34006117</v>
      </c>
      <c r="E21" s="8" t="s">
        <v>28</v>
      </c>
      <c r="F21" s="19">
        <v>380</v>
      </c>
      <c r="G21" s="16">
        <f>ROUND(F21,2)</f>
        <v>380</v>
      </c>
      <c r="H21" s="8">
        <v>12</v>
      </c>
      <c r="I21" s="9">
        <v>2</v>
      </c>
      <c r="J21" s="1"/>
      <c r="M21" s="1"/>
    </row>
    <row r="22" spans="1:13" x14ac:dyDescent="0.25">
      <c r="A22" s="7" t="s">
        <v>1</v>
      </c>
      <c r="B22" s="7" t="s">
        <v>81</v>
      </c>
      <c r="C22" s="7" t="s">
        <v>94</v>
      </c>
      <c r="D22" s="8">
        <v>34006058</v>
      </c>
      <c r="E22" s="8" t="s">
        <v>29</v>
      </c>
      <c r="F22" s="19">
        <v>620</v>
      </c>
      <c r="G22" s="16">
        <f>ROUND(F22,2)</f>
        <v>620</v>
      </c>
      <c r="H22" s="8">
        <v>24</v>
      </c>
      <c r="I22" s="9">
        <v>1</v>
      </c>
      <c r="J22" s="1"/>
      <c r="M22" s="1"/>
    </row>
    <row r="23" spans="1:13" x14ac:dyDescent="0.25">
      <c r="A23" s="7" t="s">
        <v>30</v>
      </c>
      <c r="B23" s="7" t="s">
        <v>80</v>
      </c>
      <c r="C23" s="7" t="s">
        <v>93</v>
      </c>
      <c r="D23" s="8">
        <v>34901580</v>
      </c>
      <c r="E23" s="8" t="s">
        <v>31</v>
      </c>
      <c r="F23" s="19">
        <v>692.65</v>
      </c>
      <c r="G23" s="16">
        <v>692.5</v>
      </c>
      <c r="H23" s="8">
        <v>12</v>
      </c>
      <c r="I23" s="10">
        <v>2</v>
      </c>
      <c r="J23" s="1"/>
      <c r="M23" cm="1">
        <f t="array" ref="M23">_xlfn.XLOOKUP(D23,'[1]CBI all'!$D:$D,[1]!EXP_CBI)</f>
        <v>692.5</v>
      </c>
    </row>
    <row r="24" spans="1:13" x14ac:dyDescent="0.25">
      <c r="A24" s="7" t="s">
        <v>30</v>
      </c>
      <c r="B24" s="7" t="s">
        <v>80</v>
      </c>
      <c r="C24" s="7" t="s">
        <v>93</v>
      </c>
      <c r="D24" s="8">
        <v>34901646</v>
      </c>
      <c r="E24" s="8" t="s">
        <v>32</v>
      </c>
      <c r="F24" s="19">
        <v>629.62</v>
      </c>
      <c r="G24" s="16">
        <v>629.5</v>
      </c>
      <c r="H24" s="8">
        <v>12</v>
      </c>
      <c r="I24" s="11">
        <v>2</v>
      </c>
      <c r="J24" s="1"/>
      <c r="M24" cm="1">
        <f t="array" ref="M24">_xlfn.XLOOKUP(D24,'[1]CBI all'!$D:$D,[1]!EXP_CBI)</f>
        <v>629.5</v>
      </c>
    </row>
    <row r="25" spans="1:13" x14ac:dyDescent="0.25">
      <c r="A25" s="7" t="s">
        <v>30</v>
      </c>
      <c r="B25" s="7" t="s">
        <v>80</v>
      </c>
      <c r="C25" s="7" t="s">
        <v>93</v>
      </c>
      <c r="D25" s="8">
        <v>34901708</v>
      </c>
      <c r="E25" s="1" t="s">
        <v>78</v>
      </c>
      <c r="F25" s="19">
        <v>1070.8</v>
      </c>
      <c r="G25" s="16">
        <v>1071</v>
      </c>
      <c r="H25" s="8">
        <v>12</v>
      </c>
      <c r="I25" s="11">
        <v>2</v>
      </c>
      <c r="J25" s="1"/>
      <c r="M25" cm="1">
        <f t="array" ref="M25">_xlfn.XLOOKUP(D25,'[1]CBI all'!$D:$D,[1]!EXP_CBI)</f>
        <v>1071</v>
      </c>
    </row>
    <row r="26" spans="1:13" x14ac:dyDescent="0.25">
      <c r="A26" s="7" t="s">
        <v>30</v>
      </c>
      <c r="B26" s="7" t="s">
        <v>80</v>
      </c>
      <c r="C26" s="7" t="s">
        <v>93</v>
      </c>
      <c r="D26" s="8">
        <v>34901709</v>
      </c>
      <c r="E26" s="1" t="s">
        <v>79</v>
      </c>
      <c r="F26" s="19">
        <v>1890.13</v>
      </c>
      <c r="G26" s="16">
        <v>1890</v>
      </c>
      <c r="H26" s="8">
        <v>12</v>
      </c>
      <c r="I26" s="11">
        <v>2</v>
      </c>
      <c r="J26" s="1"/>
      <c r="M26" cm="1">
        <f t="array" ref="M26">_xlfn.XLOOKUP(D26,'[1]CBI all'!$D:$D,[1]!EXP_CBI)</f>
        <v>1890</v>
      </c>
    </row>
    <row r="27" spans="1:13" x14ac:dyDescent="0.25">
      <c r="A27" s="7" t="s">
        <v>30</v>
      </c>
      <c r="B27" s="7" t="s">
        <v>80</v>
      </c>
      <c r="C27" s="7" t="s">
        <v>93</v>
      </c>
      <c r="D27" s="8">
        <v>34901564</v>
      </c>
      <c r="E27" s="8" t="s">
        <v>33</v>
      </c>
      <c r="F27" s="19">
        <v>472.06</v>
      </c>
      <c r="G27" s="16">
        <v>472</v>
      </c>
      <c r="H27" s="8">
        <v>12</v>
      </c>
      <c r="I27" s="10">
        <v>2</v>
      </c>
      <c r="J27" s="1"/>
      <c r="M27" cm="1">
        <f t="array" ref="M27">_xlfn.XLOOKUP(D27,'[1]CBI all'!$D:$D,[1]!EXP_CBI)</f>
        <v>472</v>
      </c>
    </row>
    <row r="28" spans="1:13" x14ac:dyDescent="0.25">
      <c r="A28" s="7" t="s">
        <v>34</v>
      </c>
      <c r="B28" s="7" t="s">
        <v>7</v>
      </c>
      <c r="C28" s="7" t="s">
        <v>91</v>
      </c>
      <c r="D28" s="8">
        <v>33703946</v>
      </c>
      <c r="E28" s="8" t="s">
        <v>35</v>
      </c>
      <c r="F28" s="19">
        <v>755.67</v>
      </c>
      <c r="G28" s="16">
        <v>755.5</v>
      </c>
      <c r="H28" s="8">
        <v>4</v>
      </c>
      <c r="I28" s="11">
        <v>6</v>
      </c>
      <c r="J28" s="1"/>
      <c r="K28" s="1"/>
      <c r="M28" cm="1">
        <f t="array" ref="M28">_xlfn.XLOOKUP(D28,'[1]CBI all'!$D:$D,[1]!EXP_CBI)</f>
        <v>755.5</v>
      </c>
    </row>
    <row r="29" spans="1:13" x14ac:dyDescent="0.25">
      <c r="A29" s="7" t="s">
        <v>34</v>
      </c>
      <c r="B29" s="7" t="s">
        <v>7</v>
      </c>
      <c r="C29" s="7" t="s">
        <v>91</v>
      </c>
      <c r="D29" s="8">
        <v>33703941</v>
      </c>
      <c r="E29" s="8" t="s">
        <v>36</v>
      </c>
      <c r="F29" s="19">
        <v>646.41</v>
      </c>
      <c r="G29" s="16">
        <v>629.5</v>
      </c>
      <c r="H29" s="8">
        <v>4</v>
      </c>
      <c r="I29" s="11">
        <v>6</v>
      </c>
      <c r="J29" s="1"/>
      <c r="K29" s="1"/>
      <c r="M29" cm="1">
        <f t="array" ref="M29">_xlfn.XLOOKUP(D29,'[1]CBI all'!$D:$D,[1]!EXP_CBI)</f>
        <v>629.5</v>
      </c>
    </row>
    <row r="30" spans="1:13" x14ac:dyDescent="0.25">
      <c r="A30" s="7" t="s">
        <v>34</v>
      </c>
      <c r="B30" s="7" t="s">
        <v>7</v>
      </c>
      <c r="C30" s="7" t="s">
        <v>91</v>
      </c>
      <c r="D30" s="8">
        <v>33704273</v>
      </c>
      <c r="E30" s="8" t="s">
        <v>37</v>
      </c>
      <c r="F30" s="19">
        <v>261.52999999999997</v>
      </c>
      <c r="G30" s="16">
        <v>261.5</v>
      </c>
      <c r="H30" s="8">
        <v>4</v>
      </c>
      <c r="I30" s="11">
        <v>6</v>
      </c>
      <c r="J30" s="1"/>
      <c r="K30" s="1"/>
      <c r="M30" cm="1">
        <f t="array" ref="M30">_xlfn.XLOOKUP(D30,'[1]CBI all'!$D:$D,[1]!EXP_CBI)</f>
        <v>261.5</v>
      </c>
    </row>
    <row r="31" spans="1:13" x14ac:dyDescent="0.25">
      <c r="A31" s="7" t="s">
        <v>34</v>
      </c>
      <c r="B31" s="7" t="s">
        <v>7</v>
      </c>
      <c r="C31" s="7" t="s">
        <v>91</v>
      </c>
      <c r="D31" s="8">
        <v>33703792</v>
      </c>
      <c r="E31" s="8" t="s">
        <v>38</v>
      </c>
      <c r="F31" s="19">
        <v>314.5</v>
      </c>
      <c r="G31" s="16">
        <v>314.5</v>
      </c>
      <c r="H31" s="8">
        <v>4</v>
      </c>
      <c r="I31" s="11">
        <v>6</v>
      </c>
      <c r="J31" s="1"/>
      <c r="K31" s="1"/>
      <c r="M31" cm="1">
        <f t="array" ref="M31">_xlfn.XLOOKUP(D31,'[1]CBI all'!$D:$D,[1]!EXP_CBI)</f>
        <v>314.5</v>
      </c>
    </row>
    <row r="32" spans="1:13" x14ac:dyDescent="0.25">
      <c r="A32" s="7" t="s">
        <v>76</v>
      </c>
      <c r="B32" s="7" t="s">
        <v>10</v>
      </c>
      <c r="C32" s="7" t="s">
        <v>96</v>
      </c>
      <c r="D32" s="8">
        <v>33803608</v>
      </c>
      <c r="E32" s="8" t="s">
        <v>39</v>
      </c>
      <c r="F32" s="19">
        <v>188.45</v>
      </c>
      <c r="G32" s="16">
        <v>200</v>
      </c>
      <c r="H32" s="8">
        <v>1</v>
      </c>
      <c r="I32" s="11">
        <v>24</v>
      </c>
      <c r="J32" s="1"/>
      <c r="K32" s="1"/>
      <c r="M32" cm="1">
        <f t="array" ref="M32">_xlfn.XLOOKUP(D32,'[1]CBI all'!$D:$D,[1]!EXP_CBI)</f>
        <v>200</v>
      </c>
    </row>
    <row r="33" spans="1:13" x14ac:dyDescent="0.25">
      <c r="A33" s="7" t="s">
        <v>76</v>
      </c>
      <c r="B33" s="7" t="s">
        <v>11</v>
      </c>
      <c r="C33" s="7" t="s">
        <v>98</v>
      </c>
      <c r="D33" s="8">
        <v>33803399</v>
      </c>
      <c r="E33" s="8" t="s">
        <v>40</v>
      </c>
      <c r="F33" s="19">
        <v>377.52</v>
      </c>
      <c r="G33" s="16">
        <v>377.5</v>
      </c>
      <c r="H33" s="8">
        <v>4</v>
      </c>
      <c r="I33" s="11">
        <v>6</v>
      </c>
      <c r="J33" s="1"/>
      <c r="K33" s="1"/>
      <c r="M33" cm="1">
        <f t="array" ref="M33">_xlfn.XLOOKUP(D33,'[1]CBI all'!$D:$D,[1]!EXP_CBI)</f>
        <v>377.5</v>
      </c>
    </row>
    <row r="34" spans="1:13" x14ac:dyDescent="0.25">
      <c r="A34" s="7" t="s">
        <v>41</v>
      </c>
      <c r="B34" s="7" t="s">
        <v>4</v>
      </c>
      <c r="C34" s="7" t="s">
        <v>92</v>
      </c>
      <c r="D34" s="8">
        <v>32901822</v>
      </c>
      <c r="E34" s="8" t="s">
        <v>42</v>
      </c>
      <c r="F34" s="19">
        <v>724.16</v>
      </c>
      <c r="G34" s="16">
        <v>805</v>
      </c>
      <c r="H34" s="8">
        <v>6</v>
      </c>
      <c r="I34" s="10">
        <v>4</v>
      </c>
      <c r="J34" s="1"/>
      <c r="K34" s="1"/>
      <c r="M34" cm="1">
        <f t="array" ref="M34">_xlfn.XLOOKUP(D34,'[1]CBI all'!$D:$D,[1]!EXP_CBI)</f>
        <v>805</v>
      </c>
    </row>
    <row r="35" spans="1:13" x14ac:dyDescent="0.25">
      <c r="A35" s="7" t="s">
        <v>41</v>
      </c>
      <c r="B35" s="7" t="s">
        <v>4</v>
      </c>
      <c r="C35" s="7" t="s">
        <v>92</v>
      </c>
      <c r="D35" s="8">
        <v>32901835</v>
      </c>
      <c r="E35" s="8" t="s">
        <v>43</v>
      </c>
      <c r="F35" s="19">
        <v>392.62</v>
      </c>
      <c r="G35" s="16">
        <v>390.5</v>
      </c>
      <c r="H35" s="8">
        <v>6</v>
      </c>
      <c r="I35" s="10">
        <v>4</v>
      </c>
      <c r="J35" s="1"/>
      <c r="K35" s="1"/>
      <c r="M35" cm="1">
        <f t="array" ref="M35">_xlfn.XLOOKUP(D35,'[1]CBI all'!$D:$D,[1]!EXP_CBI)</f>
        <v>390.5</v>
      </c>
    </row>
    <row r="36" spans="1:13" x14ac:dyDescent="0.25">
      <c r="A36" s="7" t="s">
        <v>41</v>
      </c>
      <c r="B36" s="7" t="s">
        <v>4</v>
      </c>
      <c r="C36" s="7" t="s">
        <v>92</v>
      </c>
      <c r="D36" s="8">
        <v>32002677</v>
      </c>
      <c r="E36" s="8" t="s">
        <v>44</v>
      </c>
      <c r="F36" s="19">
        <v>311.35000000000002</v>
      </c>
      <c r="G36" s="16">
        <v>311.5</v>
      </c>
      <c r="H36" s="8">
        <v>6</v>
      </c>
      <c r="I36" s="10">
        <v>4</v>
      </c>
      <c r="J36" s="1"/>
      <c r="K36" s="1"/>
      <c r="M36" cm="1">
        <f t="array" ref="M36">_xlfn.XLOOKUP(D36,'[1]CBI all'!$D:$D,[1]!EXP_CBI)</f>
        <v>311.5</v>
      </c>
    </row>
    <row r="37" spans="1:13" x14ac:dyDescent="0.25">
      <c r="A37" s="7" t="s">
        <v>41</v>
      </c>
      <c r="B37" s="7" t="s">
        <v>4</v>
      </c>
      <c r="C37" s="7" t="s">
        <v>92</v>
      </c>
      <c r="D37" s="8">
        <v>32901914</v>
      </c>
      <c r="E37" s="8" t="s">
        <v>45</v>
      </c>
      <c r="F37" s="19">
        <v>307.41000000000003</v>
      </c>
      <c r="G37" s="16">
        <v>307.5</v>
      </c>
      <c r="H37" s="8">
        <v>6</v>
      </c>
      <c r="I37" s="10">
        <v>4</v>
      </c>
      <c r="J37" s="1"/>
      <c r="K37" s="1"/>
      <c r="M37" cm="1">
        <f t="array" ref="M37">_xlfn.XLOOKUP(D37,'[1]CBI all'!$D:$D,[1]!EXP_CBI)</f>
        <v>307.5</v>
      </c>
    </row>
    <row r="38" spans="1:13" x14ac:dyDescent="0.25">
      <c r="A38" s="7" t="s">
        <v>46</v>
      </c>
      <c r="B38" s="7" t="s">
        <v>3</v>
      </c>
      <c r="C38" s="7" t="s">
        <v>90</v>
      </c>
      <c r="D38" s="7">
        <v>31021286</v>
      </c>
      <c r="E38" s="7" t="s">
        <v>47</v>
      </c>
      <c r="F38" s="19">
        <v>225</v>
      </c>
      <c r="G38" s="16">
        <f>ROUND(F38,2)</f>
        <v>225</v>
      </c>
      <c r="H38" s="8">
        <v>6</v>
      </c>
      <c r="I38" s="12">
        <v>4</v>
      </c>
      <c r="K38" s="1"/>
      <c r="M38">
        <f>_xlfn.XLOOKUP(E38,[1]Washing!$E:$E,[1]Washing!$DM:$DM)</f>
        <v>225</v>
      </c>
    </row>
    <row r="39" spans="1:13" x14ac:dyDescent="0.25">
      <c r="A39" s="7" t="s">
        <v>46</v>
      </c>
      <c r="B39" s="7" t="s">
        <v>3</v>
      </c>
      <c r="C39" s="7" t="s">
        <v>90</v>
      </c>
      <c r="D39" s="7">
        <v>31021444</v>
      </c>
      <c r="E39" s="7" t="s">
        <v>48</v>
      </c>
      <c r="F39" s="19">
        <v>239</v>
      </c>
      <c r="G39" s="16">
        <f>ROUND(F39,2)</f>
        <v>239</v>
      </c>
      <c r="H39" s="8">
        <v>6</v>
      </c>
      <c r="I39" s="12">
        <v>4</v>
      </c>
      <c r="K39" s="1"/>
    </row>
    <row r="40" spans="1:13" x14ac:dyDescent="0.25">
      <c r="A40" s="7" t="s">
        <v>46</v>
      </c>
      <c r="B40" s="7" t="s">
        <v>3</v>
      </c>
      <c r="C40" s="7" t="s">
        <v>90</v>
      </c>
      <c r="D40" s="7">
        <v>31021288</v>
      </c>
      <c r="E40" s="7" t="s">
        <v>49</v>
      </c>
      <c r="F40" s="19">
        <v>289</v>
      </c>
      <c r="G40" s="16">
        <f>ROUND(F40,2)</f>
        <v>289</v>
      </c>
      <c r="H40" s="8">
        <v>6</v>
      </c>
      <c r="I40" s="12">
        <v>4</v>
      </c>
      <c r="K40" s="1"/>
      <c r="M40">
        <f>_xlfn.XLOOKUP(E40,[1]Washing!$E:$E,[1]Washing!$DM:$DM)</f>
        <v>289</v>
      </c>
    </row>
    <row r="41" spans="1:13" x14ac:dyDescent="0.25">
      <c r="A41" s="7" t="s">
        <v>46</v>
      </c>
      <c r="B41" s="7" t="s">
        <v>3</v>
      </c>
      <c r="C41" s="7" t="s">
        <v>90</v>
      </c>
      <c r="D41" s="7">
        <v>31021290</v>
      </c>
      <c r="E41" s="7" t="s">
        <v>50</v>
      </c>
      <c r="F41" s="19">
        <v>297</v>
      </c>
      <c r="G41" s="16">
        <f>ROUND(F41,2)</f>
        <v>297</v>
      </c>
      <c r="H41" s="8">
        <v>6</v>
      </c>
      <c r="I41" s="12">
        <v>4</v>
      </c>
      <c r="K41" s="1"/>
      <c r="M41">
        <f>_xlfn.XLOOKUP(E41,[1]Washing!$E:$E,[1]Washing!$DM:$DM)</f>
        <v>297</v>
      </c>
    </row>
    <row r="42" spans="1:13" x14ac:dyDescent="0.25">
      <c r="A42" s="7" t="s">
        <v>46</v>
      </c>
      <c r="B42" s="7" t="s">
        <v>3</v>
      </c>
      <c r="C42" s="7" t="s">
        <v>90</v>
      </c>
      <c r="D42" s="7">
        <v>31021291</v>
      </c>
      <c r="E42" s="7" t="s">
        <v>51</v>
      </c>
      <c r="F42" s="19">
        <v>309</v>
      </c>
      <c r="G42" s="16">
        <f>ROUND(F42,2)</f>
        <v>309</v>
      </c>
      <c r="H42" s="8">
        <v>6</v>
      </c>
      <c r="I42" s="12">
        <v>4</v>
      </c>
      <c r="K42" s="1"/>
      <c r="M42">
        <f>_xlfn.XLOOKUP(E42,[1]Washing!$E:$E,[1]Washing!$DM:$DM)</f>
        <v>309</v>
      </c>
    </row>
    <row r="43" spans="1:13" x14ac:dyDescent="0.25">
      <c r="A43" s="7" t="s">
        <v>46</v>
      </c>
      <c r="B43" s="7" t="s">
        <v>3</v>
      </c>
      <c r="C43" s="7" t="s">
        <v>90</v>
      </c>
      <c r="D43" s="7">
        <v>31021294</v>
      </c>
      <c r="E43" s="7" t="s">
        <v>52</v>
      </c>
      <c r="F43" s="19">
        <v>375</v>
      </c>
      <c r="G43" s="16">
        <f>ROUND(F43,2)</f>
        <v>375</v>
      </c>
      <c r="H43" s="8">
        <v>6</v>
      </c>
      <c r="I43" s="12">
        <v>4</v>
      </c>
      <c r="K43" s="1"/>
      <c r="M43">
        <f>_xlfn.XLOOKUP(E43,[1]Washing!$E:$E,[1]Washing!$DM:$DM)</f>
        <v>375</v>
      </c>
    </row>
    <row r="44" spans="1:13" x14ac:dyDescent="0.25">
      <c r="A44" s="7" t="s">
        <v>46</v>
      </c>
      <c r="B44" s="7" t="s">
        <v>3</v>
      </c>
      <c r="C44" s="7" t="s">
        <v>90</v>
      </c>
      <c r="D44" s="7">
        <v>31021295</v>
      </c>
      <c r="E44" s="7" t="s">
        <v>53</v>
      </c>
      <c r="F44" s="19">
        <v>399</v>
      </c>
      <c r="G44" s="16">
        <f>ROUND(F44,2)</f>
        <v>399</v>
      </c>
      <c r="H44" s="8">
        <v>6</v>
      </c>
      <c r="I44" s="12">
        <v>4</v>
      </c>
      <c r="K44" s="1"/>
      <c r="M44">
        <f>_xlfn.XLOOKUP(E44,[1]Washing!$E:$E,[1]Washing!$DM:$DM)</f>
        <v>399</v>
      </c>
    </row>
    <row r="45" spans="1:13" x14ac:dyDescent="0.25">
      <c r="A45" s="7" t="s">
        <v>46</v>
      </c>
      <c r="B45" s="7" t="s">
        <v>3</v>
      </c>
      <c r="C45" s="7" t="s">
        <v>90</v>
      </c>
      <c r="D45" s="7">
        <v>31021298</v>
      </c>
      <c r="E45" s="7" t="s">
        <v>54</v>
      </c>
      <c r="F45" s="19">
        <v>582</v>
      </c>
      <c r="G45" s="16">
        <f>ROUND(F45,2)</f>
        <v>582</v>
      </c>
      <c r="H45" s="8">
        <v>6</v>
      </c>
      <c r="I45" s="12">
        <v>4</v>
      </c>
      <c r="K45" s="1"/>
      <c r="M45">
        <f>_xlfn.XLOOKUP(E45,[1]Washing!$E:$E,[1]Washing!$DM:$DM)</f>
        <v>582</v>
      </c>
    </row>
    <row r="46" spans="1:13" x14ac:dyDescent="0.25">
      <c r="A46" s="7" t="s">
        <v>46</v>
      </c>
      <c r="B46" s="7" t="s">
        <v>9</v>
      </c>
      <c r="C46" s="7" t="s">
        <v>90</v>
      </c>
      <c r="D46" s="7">
        <v>31021296</v>
      </c>
      <c r="E46" s="7" t="s">
        <v>55</v>
      </c>
      <c r="F46" s="19">
        <v>323</v>
      </c>
      <c r="G46" s="16">
        <f>ROUND(F46,2)</f>
        <v>323</v>
      </c>
      <c r="H46" s="8">
        <v>6</v>
      </c>
      <c r="I46" s="12">
        <v>4</v>
      </c>
      <c r="K46" s="1"/>
      <c r="M46">
        <f>_xlfn.XLOOKUP(E46,[1]Washing!$E:$E,[1]Washing!$DM:$DM)</f>
        <v>323</v>
      </c>
    </row>
    <row r="47" spans="1:13" x14ac:dyDescent="0.25">
      <c r="A47" s="7" t="s">
        <v>46</v>
      </c>
      <c r="B47" s="7" t="s">
        <v>9</v>
      </c>
      <c r="C47" s="7" t="s">
        <v>90</v>
      </c>
      <c r="D47" s="7">
        <v>31021299</v>
      </c>
      <c r="E47" s="7" t="s">
        <v>56</v>
      </c>
      <c r="F47" s="19">
        <v>407</v>
      </c>
      <c r="G47" s="16">
        <f>ROUND(F47,2)</f>
        <v>407</v>
      </c>
      <c r="H47" s="8">
        <v>6</v>
      </c>
      <c r="I47" s="12">
        <v>4</v>
      </c>
      <c r="K47" s="1"/>
      <c r="M47">
        <f>_xlfn.XLOOKUP(E47,[1]Washing!$E:$E,[1]Washing!$DM:$DM)</f>
        <v>407</v>
      </c>
    </row>
    <row r="48" spans="1:13" x14ac:dyDescent="0.25">
      <c r="A48" s="7" t="s">
        <v>46</v>
      </c>
      <c r="B48" s="7" t="s">
        <v>6</v>
      </c>
      <c r="C48" s="7" t="s">
        <v>90</v>
      </c>
      <c r="D48" s="7">
        <v>31103164</v>
      </c>
      <c r="E48" s="7" t="s">
        <v>57</v>
      </c>
      <c r="F48" s="19">
        <v>329</v>
      </c>
      <c r="G48" s="16">
        <f>ROUND(F48,2)</f>
        <v>329</v>
      </c>
      <c r="H48" s="8">
        <v>6</v>
      </c>
      <c r="I48" s="12">
        <v>4</v>
      </c>
      <c r="K48" s="1"/>
      <c r="M48">
        <f>_xlfn.XLOOKUP(E48,[1]Washing!$E:$E,[1]Washing!$DM:$DM)</f>
        <v>329</v>
      </c>
    </row>
    <row r="49" spans="1:13" x14ac:dyDescent="0.25">
      <c r="A49" s="7" t="s">
        <v>46</v>
      </c>
      <c r="B49" s="7" t="s">
        <v>6</v>
      </c>
      <c r="C49" s="7" t="s">
        <v>90</v>
      </c>
      <c r="D49" s="7">
        <v>31103162</v>
      </c>
      <c r="E49" s="7" t="s">
        <v>58</v>
      </c>
      <c r="F49" s="19">
        <v>335</v>
      </c>
      <c r="G49" s="16">
        <f>ROUND(F49,2)</f>
        <v>335</v>
      </c>
      <c r="H49" s="8">
        <v>6</v>
      </c>
      <c r="I49" s="12">
        <v>4</v>
      </c>
      <c r="K49" s="1"/>
      <c r="M49">
        <f>_xlfn.XLOOKUP(E49,[1]Washing!$E:$E,[1]Washing!$DM:$DM)</f>
        <v>335</v>
      </c>
    </row>
    <row r="50" spans="1:13" x14ac:dyDescent="0.25">
      <c r="A50" s="7" t="s">
        <v>46</v>
      </c>
      <c r="B50" s="7" t="s">
        <v>6</v>
      </c>
      <c r="C50" s="7" t="s">
        <v>90</v>
      </c>
      <c r="D50" s="7">
        <v>31103166</v>
      </c>
      <c r="E50" s="7" t="s">
        <v>59</v>
      </c>
      <c r="F50" s="19">
        <v>428</v>
      </c>
      <c r="G50" s="16">
        <f>ROUND(F50,2)</f>
        <v>428</v>
      </c>
      <c r="H50" s="8">
        <v>6</v>
      </c>
      <c r="I50" s="12">
        <v>4</v>
      </c>
      <c r="K50" s="1"/>
      <c r="M50">
        <f>_xlfn.XLOOKUP(E50,[1]Washing!$E:$E,[1]Washing!$DM:$DM)</f>
        <v>428</v>
      </c>
    </row>
    <row r="51" spans="1:13" x14ac:dyDescent="0.25">
      <c r="A51" s="7" t="s">
        <v>46</v>
      </c>
      <c r="B51" s="7" t="s">
        <v>6</v>
      </c>
      <c r="C51" s="7" t="s">
        <v>90</v>
      </c>
      <c r="D51" s="7">
        <v>31103163</v>
      </c>
      <c r="E51" s="7" t="s">
        <v>60</v>
      </c>
      <c r="F51" s="19">
        <v>472</v>
      </c>
      <c r="G51" s="16">
        <f>ROUND(F51,2)</f>
        <v>472</v>
      </c>
      <c r="H51" s="8">
        <v>6</v>
      </c>
      <c r="I51" s="12">
        <v>4</v>
      </c>
      <c r="K51" s="1"/>
      <c r="M51">
        <f>_xlfn.XLOOKUP(E51,[1]Washing!$E:$E,[1]Washing!$DM:$DM)</f>
        <v>472</v>
      </c>
    </row>
    <row r="52" spans="1:13" x14ac:dyDescent="0.25">
      <c r="A52" s="7" t="s">
        <v>46</v>
      </c>
      <c r="B52" s="7" t="s">
        <v>3</v>
      </c>
      <c r="C52" s="7">
        <v>8888</v>
      </c>
      <c r="D52" s="7">
        <v>31021468</v>
      </c>
      <c r="E52" s="7" t="s">
        <v>61</v>
      </c>
      <c r="F52" s="19">
        <v>646</v>
      </c>
      <c r="G52" s="16">
        <f>ROUND(F52,2)</f>
        <v>646</v>
      </c>
      <c r="H52" s="7">
        <v>12</v>
      </c>
      <c r="I52" s="12">
        <v>2</v>
      </c>
      <c r="K52" s="1"/>
      <c r="M52">
        <f>_xlfn.XLOOKUP(E52,[1]Washing!$E:$E,[1]Washing!$DM:$DM)</f>
        <v>646</v>
      </c>
    </row>
    <row r="53" spans="1:13" x14ac:dyDescent="0.25">
      <c r="A53" s="7" t="s">
        <v>46</v>
      </c>
      <c r="B53" s="7" t="s">
        <v>3</v>
      </c>
      <c r="C53" s="7" t="s">
        <v>90</v>
      </c>
      <c r="D53" s="7">
        <v>31020590</v>
      </c>
      <c r="E53" s="7" t="s">
        <v>62</v>
      </c>
      <c r="F53" s="19">
        <v>379</v>
      </c>
      <c r="G53" s="16">
        <f>ROUND(F53,2)</f>
        <v>379</v>
      </c>
      <c r="H53" s="7">
        <v>6</v>
      </c>
      <c r="I53" s="12">
        <v>4</v>
      </c>
      <c r="K53" s="1"/>
      <c r="M53">
        <f>_xlfn.XLOOKUP(E53,[1]Washing!$E:$E,[1]Washing!$DM:$DM)</f>
        <v>379</v>
      </c>
    </row>
    <row r="54" spans="1:13" x14ac:dyDescent="0.25">
      <c r="A54" s="7" t="s">
        <v>46</v>
      </c>
      <c r="B54" s="7" t="s">
        <v>9</v>
      </c>
      <c r="C54" s="7" t="s">
        <v>90</v>
      </c>
      <c r="D54" s="7">
        <v>31021015</v>
      </c>
      <c r="E54" s="7" t="s">
        <v>63</v>
      </c>
      <c r="F54" s="19">
        <v>499</v>
      </c>
      <c r="G54" s="16">
        <f>ROUND(F54,2)</f>
        <v>499</v>
      </c>
      <c r="H54" s="7">
        <v>6</v>
      </c>
      <c r="I54" s="12">
        <v>4</v>
      </c>
      <c r="K54" s="1"/>
      <c r="M54">
        <f>_xlfn.XLOOKUP(E54,[1]Washing!$E:$E,[1]Washing!$DM:$DM)</f>
        <v>499</v>
      </c>
    </row>
    <row r="55" spans="1:13" x14ac:dyDescent="0.25">
      <c r="A55" s="7" t="s">
        <v>46</v>
      </c>
      <c r="B55" s="7" t="s">
        <v>77</v>
      </c>
      <c r="C55" s="7" t="s">
        <v>90</v>
      </c>
      <c r="D55" s="7">
        <v>31020436</v>
      </c>
      <c r="E55" s="7" t="s">
        <v>64</v>
      </c>
      <c r="F55" s="19">
        <v>299</v>
      </c>
      <c r="G55" s="16">
        <f>ROUND(F55,2)</f>
        <v>299</v>
      </c>
      <c r="H55" s="7">
        <v>6</v>
      </c>
      <c r="I55" s="12">
        <v>4</v>
      </c>
      <c r="K55" s="1"/>
      <c r="M55">
        <f>_xlfn.XLOOKUP(E55,[1]Washing!$E:$E,[1]Washing!$DM:$DM)</f>
        <v>299</v>
      </c>
    </row>
    <row r="56" spans="1:13" x14ac:dyDescent="0.25">
      <c r="A56" s="7" t="s">
        <v>46</v>
      </c>
      <c r="B56" s="7" t="s">
        <v>77</v>
      </c>
      <c r="C56" s="7">
        <v>9999</v>
      </c>
      <c r="D56" s="7">
        <v>31020735</v>
      </c>
      <c r="E56" s="7" t="s">
        <v>65</v>
      </c>
      <c r="F56" s="19">
        <v>583</v>
      </c>
      <c r="G56" s="16">
        <f>ROUND(F56,2)</f>
        <v>583</v>
      </c>
      <c r="H56" s="7">
        <v>12</v>
      </c>
      <c r="I56" s="12">
        <v>2</v>
      </c>
      <c r="K56" s="1"/>
      <c r="M56">
        <f>_xlfn.XLOOKUP(E56,[1]Washing!$E:$E,[1]Washing!$DM:$DM)</f>
        <v>583</v>
      </c>
    </row>
    <row r="57" spans="1:13" x14ac:dyDescent="0.25">
      <c r="D57" s="7">
        <v>31020140</v>
      </c>
      <c r="E57" s="7" t="s">
        <v>100</v>
      </c>
    </row>
    <row r="58" spans="1:13" x14ac:dyDescent="0.25">
      <c r="D58" s="7">
        <v>31020591</v>
      </c>
      <c r="E58" s="7" t="s">
        <v>101</v>
      </c>
    </row>
    <row r="59" spans="1:13" x14ac:dyDescent="0.25">
      <c r="D59" s="7">
        <v>31102816</v>
      </c>
      <c r="E59" s="7" t="s">
        <v>102</v>
      </c>
    </row>
    <row r="60" spans="1:13" x14ac:dyDescent="0.25">
      <c r="A60"/>
      <c r="B60"/>
      <c r="C60"/>
      <c r="D60"/>
      <c r="E60"/>
      <c r="F60"/>
      <c r="G60"/>
      <c r="H60"/>
      <c r="I60"/>
    </row>
    <row r="61" spans="1:13" x14ac:dyDescent="0.25">
      <c r="A61"/>
      <c r="B61"/>
      <c r="C61"/>
      <c r="D61"/>
      <c r="E61"/>
      <c r="F61"/>
      <c r="G61"/>
      <c r="H61"/>
      <c r="I61"/>
    </row>
    <row r="62" spans="1:13" x14ac:dyDescent="0.25">
      <c r="A62"/>
      <c r="B62"/>
      <c r="C62"/>
      <c r="D62"/>
      <c r="E62"/>
      <c r="F62"/>
      <c r="G62"/>
      <c r="H62"/>
      <c r="I62"/>
    </row>
    <row r="63" spans="1:13" x14ac:dyDescent="0.25">
      <c r="A63"/>
      <c r="B63"/>
      <c r="C63"/>
      <c r="D63"/>
      <c r="E63"/>
      <c r="F63"/>
      <c r="G63"/>
      <c r="H63"/>
      <c r="I63"/>
    </row>
    <row r="64" spans="1:13" x14ac:dyDescent="0.25">
      <c r="A64"/>
      <c r="B64"/>
      <c r="C64"/>
      <c r="D64"/>
      <c r="E64"/>
      <c r="F64"/>
      <c r="G64"/>
      <c r="H64"/>
      <c r="I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autoFilter ref="A1:L59" xr:uid="{4D870034-242D-49C0-BE89-40E84D61E957}"/>
  <phoneticPr fontId="10" type="noConversion"/>
  <pageMargins left="0.7" right="0.7" top="0.78740157499999996" bottom="0.78740157499999996" header="0.3" footer="0.3"/>
  <pageSetup paperSize="9" orientation="portrait" r:id="rId1"/>
  <headerFooter>
    <oddFooter>&amp;C_x000D_&amp;1#&amp;"Aptos"&amp;10&amp;K0000FF Haier Europe - Internal and trusted parties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AE87-395E-43D1-BB7D-A2A12FDB9EFF}">
  <dimension ref="A1:G13"/>
  <sheetViews>
    <sheetView workbookViewId="0">
      <selection activeCell="B8" sqref="B8"/>
    </sheetView>
  </sheetViews>
  <sheetFormatPr defaultRowHeight="15" x14ac:dyDescent="0.25"/>
  <cols>
    <col min="1" max="1" width="31.7109375" customWidth="1"/>
    <col min="2" max="7" width="26" customWidth="1"/>
  </cols>
  <sheetData>
    <row r="1" spans="1:7" ht="60" customHeight="1" x14ac:dyDescent="0.25">
      <c r="A1" s="5" t="s">
        <v>82</v>
      </c>
      <c r="B1" s="5"/>
      <c r="C1" s="6"/>
      <c r="D1" s="6"/>
    </row>
    <row r="2" spans="1:7" x14ac:dyDescent="0.25">
      <c r="A2" t="s">
        <v>66</v>
      </c>
      <c r="B2" t="s">
        <v>90</v>
      </c>
      <c r="C2" t="s">
        <v>90</v>
      </c>
      <c r="D2" t="s">
        <v>90</v>
      </c>
      <c r="E2" t="s">
        <v>90</v>
      </c>
    </row>
    <row r="3" spans="1:7" x14ac:dyDescent="0.25">
      <c r="A3" t="s">
        <v>67</v>
      </c>
      <c r="B3" t="s">
        <v>90</v>
      </c>
      <c r="C3" t="s">
        <v>90</v>
      </c>
      <c r="D3" t="s">
        <v>90</v>
      </c>
      <c r="E3" t="s">
        <v>92</v>
      </c>
    </row>
    <row r="4" spans="1:7" x14ac:dyDescent="0.25">
      <c r="A4" t="s">
        <v>68</v>
      </c>
      <c r="B4" t="s">
        <v>90</v>
      </c>
      <c r="C4" t="s">
        <v>90</v>
      </c>
      <c r="D4" t="s">
        <v>92</v>
      </c>
      <c r="E4" t="s">
        <v>92</v>
      </c>
    </row>
    <row r="5" spans="1:7" x14ac:dyDescent="0.25">
      <c r="A5" t="s">
        <v>69</v>
      </c>
      <c r="B5" t="s">
        <v>90</v>
      </c>
      <c r="C5" t="s">
        <v>92</v>
      </c>
      <c r="D5" t="s">
        <v>92</v>
      </c>
      <c r="E5" t="s">
        <v>92</v>
      </c>
    </row>
    <row r="6" spans="1:7" x14ac:dyDescent="0.25">
      <c r="A6" t="s">
        <v>70</v>
      </c>
      <c r="B6" t="s">
        <v>92</v>
      </c>
      <c r="C6" t="s">
        <v>92</v>
      </c>
      <c r="D6" t="s">
        <v>92</v>
      </c>
      <c r="E6" t="s">
        <v>92</v>
      </c>
    </row>
    <row r="7" spans="1:7" x14ac:dyDescent="0.25">
      <c r="A7" t="s">
        <v>71</v>
      </c>
      <c r="B7" t="s">
        <v>90</v>
      </c>
      <c r="C7" t="s">
        <v>90</v>
      </c>
      <c r="D7" t="s">
        <v>91</v>
      </c>
      <c r="E7" t="s">
        <v>91</v>
      </c>
      <c r="F7" t="s">
        <v>96</v>
      </c>
      <c r="G7" t="s">
        <v>96</v>
      </c>
    </row>
    <row r="8" spans="1:7" x14ac:dyDescent="0.25">
      <c r="A8" t="s">
        <v>83</v>
      </c>
    </row>
    <row r="9" spans="1:7" x14ac:dyDescent="0.25">
      <c r="A9" t="s">
        <v>84</v>
      </c>
    </row>
    <row r="10" spans="1:7" x14ac:dyDescent="0.25">
      <c r="A10" t="s">
        <v>85</v>
      </c>
    </row>
    <row r="11" spans="1:7" x14ac:dyDescent="0.25">
      <c r="A11" t="s">
        <v>86</v>
      </c>
    </row>
    <row r="12" spans="1:7" x14ac:dyDescent="0.25">
      <c r="A12" t="s">
        <v>87</v>
      </c>
      <c r="B12" t="s">
        <v>4</v>
      </c>
      <c r="C12" t="s">
        <v>4</v>
      </c>
      <c r="D12" t="s">
        <v>10</v>
      </c>
      <c r="E12" t="s">
        <v>80</v>
      </c>
    </row>
    <row r="13" spans="1:7" x14ac:dyDescent="0.25">
      <c r="A13" t="s">
        <v>88</v>
      </c>
      <c r="B13" t="s">
        <v>3</v>
      </c>
      <c r="C13" t="s">
        <v>6</v>
      </c>
      <c r="D13" t="s">
        <v>11</v>
      </c>
      <c r="E13" t="s">
        <v>11</v>
      </c>
    </row>
  </sheetData>
  <phoneticPr fontId="10" type="noConversion"/>
  <pageMargins left="0.7" right="0.7" top="0.75" bottom="0.75" header="0.3" footer="0.3"/>
  <headerFooter>
    <oddFooter>&amp;C_x000D_&amp;1#&amp;"Aptos"&amp;10&amp;K0000FF Haier Europe - Internal and trusted parties</oddFooter>
  </headerFooter>
</worksheet>
</file>

<file path=docMetadata/LabelInfo.xml><?xml version="1.0" encoding="utf-8"?>
<clbl:labelList xmlns:clbl="http://schemas.microsoft.com/office/2020/mipLabelMetadata">
  <clbl:label id="{dc31490c-19d9-4676-a99d-07ae2489f322}" enabled="1" method="Standard" siteId="{41b89379-e28c-4971-b9ce-0b428bf8da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Combination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Frombeck</dc:creator>
  <cp:keywords/>
  <dc:description/>
  <cp:lastModifiedBy>Qi Qu</cp:lastModifiedBy>
  <cp:revision/>
  <dcterms:created xsi:type="dcterms:W3CDTF">2026-02-02T15:37:48Z</dcterms:created>
  <dcterms:modified xsi:type="dcterms:W3CDTF">2026-09-15T08:27:16Z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